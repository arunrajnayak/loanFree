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" sheetId="1" r:id="rId5"/>
    <sheet state="visible" name="Calculator" sheetId="2" r:id="rId6"/>
    <sheet state="visible" name="Graph" sheetId="3" r:id="rId7"/>
    <sheet state="visible" name="Rashmitha" sheetId="4" r:id="rId8"/>
  </sheets>
  <definedNames/>
  <calcPr/>
</workbook>
</file>

<file path=xl/sharedStrings.xml><?xml version="1.0" encoding="utf-8"?>
<sst xmlns="http://schemas.openxmlformats.org/spreadsheetml/2006/main" count="46" uniqueCount="30">
  <si>
    <t>Date</t>
  </si>
  <si>
    <t>Amount Paid</t>
  </si>
  <si>
    <t>Amount</t>
  </si>
  <si>
    <t>TOTAL</t>
  </si>
  <si>
    <t>Loan</t>
  </si>
  <si>
    <t>Disbursed</t>
  </si>
  <si>
    <t>Interest</t>
  </si>
  <si>
    <t>Repayed</t>
  </si>
  <si>
    <t>Balance</t>
  </si>
  <si>
    <t>Principal paid</t>
  </si>
  <si>
    <t>Total Payment</t>
  </si>
  <si>
    <t>Loan Amount</t>
  </si>
  <si>
    <t>Rate of Interest</t>
  </si>
  <si>
    <t>Tenure</t>
  </si>
  <si>
    <t>years</t>
  </si>
  <si>
    <t>EMI</t>
  </si>
  <si>
    <t>Principle Amount Paid</t>
  </si>
  <si>
    <t>Interest Paid</t>
  </si>
  <si>
    <t>Total Amount paid</t>
  </si>
  <si>
    <t>Pre-payment</t>
  </si>
  <si>
    <t>How many extra EMI every year?</t>
  </si>
  <si>
    <t>Hike EMI by __% every year?</t>
  </si>
  <si>
    <t>Total Money Saved</t>
  </si>
  <si>
    <t>Loan paid in?</t>
  </si>
  <si>
    <t>Month</t>
  </si>
  <si>
    <t>Paid/EMI</t>
  </si>
  <si>
    <t>Towards Loan</t>
  </si>
  <si>
    <t>Towards Interest</t>
  </si>
  <si>
    <t>Outstanding Loan</t>
  </si>
  <si>
    <t>Prepayment?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</si>
</sst>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&gt;=10000000]##\,##\,##\,##0;[&gt;=100000] ##\,##\,##0;##,##0"/>
    <numFmt numFmtId="165" formatCode="dd/mm/yyyy"/>
    <numFmt numFmtId="166" formatCode="d/m/yyyy"/>
    <numFmt numFmtId="167" formatCode="_ * #,##0_ ;_ * \-#,##0_ ;_ * &quot;-&quot;??_ ;_ @_ "/>
    <numFmt numFmtId="168" formatCode="&quot;₹&quot;\ #,##0;[Red]&quot;₹&quot;\ \-#,##0"/>
    <numFmt numFmtId="169" formatCode="0.0"/>
    <numFmt numFmtId="170" formatCode="mmmm&quot; &quot;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2" numFmtId="164" xfId="0" applyAlignment="1" applyBorder="1" applyFont="1" applyNumberFormat="1">
      <alignment horizontal="righ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3" fontId="1" numFmtId="165" xfId="0" applyAlignment="1" applyBorder="1" applyFill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0" fontId="1" numFmtId="166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4" fontId="1" numFmtId="166" xfId="0" applyAlignment="1" applyBorder="1" applyFill="1" applyFont="1" applyNumberForma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5" fontId="1" numFmtId="166" xfId="0" applyAlignment="1" applyBorder="1" applyFill="1" applyFont="1" applyNumberFormat="1">
      <alignment readingOrder="0" shrinkToFit="0" vertical="center" wrapText="0"/>
    </xf>
    <xf borderId="1" fillId="5" fontId="1" numFmtId="3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3" fontId="1" numFmtId="166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readingOrder="0"/>
    </xf>
    <xf borderId="1" fillId="3" fontId="3" numFmtId="164" xfId="0" applyBorder="1" applyFont="1" applyNumberFormat="1"/>
    <xf borderId="0" fillId="0" fontId="1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6" fontId="4" numFmtId="167" xfId="0" applyAlignment="1" applyFill="1" applyFont="1" applyNumberFormat="1">
      <alignment horizontal="right" readingOrder="0" vertical="bottom"/>
    </xf>
    <xf borderId="0" fillId="0" fontId="4" numFmtId="167" xfId="0" applyAlignment="1" applyFont="1" applyNumberFormat="1">
      <alignment vertical="bottom"/>
    </xf>
    <xf borderId="0" fillId="6" fontId="4" numFmtId="10" xfId="0" applyAlignment="1" applyFont="1" applyNumberFormat="1">
      <alignment horizontal="right" readingOrder="0" vertical="bottom"/>
    </xf>
    <xf borderId="0" fillId="6" fontId="4" numFmtId="0" xfId="0" applyAlignment="1" applyFont="1">
      <alignment horizontal="right" readingOrder="0" vertical="bottom"/>
    </xf>
    <xf borderId="0" fillId="0" fontId="4" numFmtId="168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6" fontId="4" numFmtId="0" xfId="0" applyAlignment="1" applyFont="1">
      <alignment horizontal="right" vertical="bottom"/>
    </xf>
    <xf borderId="0" fillId="6" fontId="4" numFmtId="9" xfId="0" applyAlignment="1" applyFont="1" applyNumberFormat="1">
      <alignment horizontal="right" readingOrder="0" vertical="bottom"/>
    </xf>
    <xf borderId="0" fillId="7" fontId="5" numFmtId="0" xfId="0" applyAlignment="1" applyFill="1" applyFont="1">
      <alignment vertical="bottom"/>
    </xf>
    <xf borderId="0" fillId="7" fontId="5" numFmtId="167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5" numFmtId="169" xfId="0" applyAlignment="1" applyFont="1" applyNumberFormat="1">
      <alignment horizontal="right" vertical="bottom"/>
    </xf>
    <xf borderId="0" fillId="0" fontId="5" numFmtId="168" xfId="0" applyAlignment="1" applyFont="1" applyNumberFormat="1">
      <alignment vertical="bottom"/>
    </xf>
    <xf borderId="1" fillId="0" fontId="1" numFmtId="167" xfId="0" applyAlignment="1" applyBorder="1" applyFont="1" applyNumberFormat="1">
      <alignment horizontal="left" readingOrder="0" shrinkToFit="0" vertical="center" wrapText="0"/>
    </xf>
    <xf borderId="1" fillId="8" fontId="1" numFmtId="170" xfId="0" applyAlignment="1" applyBorder="1" applyFill="1" applyFont="1" applyNumberFormat="1">
      <alignment readingOrder="0" shrinkToFit="0" vertical="center" wrapText="0"/>
    </xf>
    <xf borderId="1" fillId="8" fontId="1" numFmtId="168" xfId="0" applyAlignment="1" applyBorder="1" applyFont="1" applyNumberFormat="1">
      <alignment readingOrder="0" shrinkToFit="0" vertical="center" wrapText="0"/>
    </xf>
    <xf borderId="1" fillId="8" fontId="1" numFmtId="168" xfId="0" applyAlignment="1" applyBorder="1" applyFont="1" applyNumberFormat="1">
      <alignment shrinkToFit="0" vertical="center" wrapText="0"/>
    </xf>
    <xf borderId="1" fillId="9" fontId="6" numFmtId="168" xfId="0" applyAlignment="1" applyBorder="1" applyFill="1" applyFont="1" applyNumberFormat="1">
      <alignment readingOrder="0" shrinkToFit="0" vertical="center" wrapText="0"/>
    </xf>
    <xf borderId="1" fillId="8" fontId="1" numFmtId="167" xfId="0" applyAlignment="1" applyBorder="1" applyFont="1" applyNumberFormat="1">
      <alignment shrinkToFit="0" vertical="center" wrapText="0"/>
    </xf>
    <xf borderId="1" fillId="9" fontId="6" numFmtId="167" xfId="0" applyAlignment="1" applyBorder="1" applyFont="1" applyNumberFormat="1">
      <alignment readingOrder="0" shrinkToFit="0" vertical="center" wrapText="0"/>
    </xf>
    <xf borderId="1" fillId="9" fontId="6" numFmtId="167" xfId="0" applyAlignment="1" applyBorder="1" applyFont="1" applyNumberFormat="1">
      <alignment shrinkToFit="0" vertical="center" wrapText="0"/>
    </xf>
    <xf borderId="1" fillId="0" fontId="1" numFmtId="170" xfId="0" applyAlignment="1" applyBorder="1" applyFont="1" applyNumberFormat="1">
      <alignment readingOrder="0" shrinkToFit="0" vertical="center" wrapText="0"/>
    </xf>
    <xf borderId="1" fillId="0" fontId="1" numFmtId="168" xfId="0" applyAlignment="1" applyBorder="1" applyFont="1" applyNumberFormat="1">
      <alignment shrinkToFit="0" vertical="center" wrapText="0"/>
    </xf>
    <xf borderId="1" fillId="0" fontId="1" numFmtId="167" xfId="0" applyAlignment="1" applyBorder="1" applyFont="1" applyNumberFormat="1">
      <alignment shrinkToFit="0" vertical="center" wrapText="0"/>
    </xf>
    <xf borderId="1" fillId="0" fontId="1" numFmtId="167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">
    <tableStyle count="4" pivot="0" name="Payment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ayments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ayments-style 3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ayments-style 4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ayments-style 5">
      <tableStyleElement dxfId="1" type="headerRow"/>
      <tableStyleElement dxfId="2" type="firstRowStripe"/>
      <tableStyleElement dxfId="4" type="secondRowStripe"/>
      <tableStyleElement dxfId="3" size="0" type="wholeTable"/>
    </tableStyle>
    <tableStyle count="2" pivot="0" name="Payments-style 6">
      <tableStyleElement dxfId="4" type="firstRowStripe"/>
      <tableStyleElement dxfId="2" type="secondRowStripe"/>
    </tableStyle>
    <tableStyle count="4" pivot="0" name="Calculator-style">
      <tableStyleElement dxfId="1" type="headerRow"/>
      <tableStyleElement dxfId="2" type="firstRowStripe"/>
      <tableStyleElement dxfId="5" type="secondRowStripe"/>
      <tableStyleElement dxfId="3" size="0" type="wholeTable"/>
    </tableStyle>
    <tableStyle count="4" pivot="0" name="Rashmitha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906750" cy="6324600"/>
    <xdr:pic>
      <xdr:nvPicPr>
        <xdr:cNvPr id="126611175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Direct_Payment" name="Direct_Payment" id="1">
  <tableColumns count="2">
    <tableColumn name="Date" id="1"/>
    <tableColumn name="Amount Paid" id="2"/>
  </tableColumns>
  <tableStyleInfo name="Payments-style" showColumnStripes="0" showFirstColumn="1" showLastColumn="1" showRowStripes="1"/>
</table>
</file>

<file path=xl/tables/table2.xml><?xml version="1.0" encoding="utf-8"?>
<table xmlns="http://schemas.openxmlformats.org/spreadsheetml/2006/main" ref="E1:F15" displayName="Loan_disbursed" name="Loan_disbursed" id="2">
  <tableColumns count="2">
    <tableColumn name="Date" id="1"/>
    <tableColumn name="Amount" id="2"/>
  </tableColumns>
  <tableStyleInfo name="Payments-style 2" showColumnStripes="0" showFirstColumn="1" showLastColumn="1" showRowStripes="1"/>
</table>
</file>

<file path=xl/tables/table3.xml><?xml version="1.0" encoding="utf-8"?>
<table xmlns="http://schemas.openxmlformats.org/spreadsheetml/2006/main" ref="H1:I51" displayName="Repayed" name="Repayed" id="3">
  <tableColumns count="2">
    <tableColumn name="Date" id="1"/>
    <tableColumn name="Amount" id="2"/>
  </tableColumns>
  <tableStyleInfo name="Payments-style 3" showColumnStripes="0" showFirstColumn="1" showLastColumn="1" showRowStripes="1"/>
</table>
</file>

<file path=xl/tables/table4.xml><?xml version="1.0" encoding="utf-8"?>
<table xmlns="http://schemas.openxmlformats.org/spreadsheetml/2006/main" ref="K1:L29" displayName="Interest" name="Interest" id="4">
  <tableColumns count="2">
    <tableColumn name="Date" id="1"/>
    <tableColumn name="Amount" id="2"/>
  </tableColumns>
  <tableStyleInfo name="Payments-style 4" showColumnStripes="0" showFirstColumn="1" showLastColumn="1" showRowStripes="1"/>
</table>
</file>

<file path=xl/tables/table5.xml><?xml version="1.0" encoding="utf-8"?>
<table xmlns="http://schemas.openxmlformats.org/spreadsheetml/2006/main" ref="N2:O7" displayName="Table1" name="Table1" id="5">
  <tableColumns count="2">
    <tableColumn name="Loan" id="1"/>
    <tableColumn name="Amount" id="2"/>
  </tableColumns>
  <tableStyleInfo name="Payments-style 5" showColumnStripes="0" showFirstColumn="1" showLastColumn="1" showRowStripes="1"/>
</table>
</file>

<file path=xl/tables/table6.xml><?xml version="1.0" encoding="utf-8"?>
<table xmlns="http://schemas.openxmlformats.org/spreadsheetml/2006/main" headerRowCount="0" ref="N8:O8" displayName="Table_1" name="Table_1" id="6">
  <tableColumns count="2">
    <tableColumn name="Column1" id="1"/>
    <tableColumn name="Column2" id="2"/>
  </tableColumns>
  <tableStyleInfo name="Payments-style 6" showColumnStripes="0" showFirstColumn="1" showLastColumn="1" showRowStripes="1"/>
</table>
</file>

<file path=xl/tables/table7.xml><?xml version="1.0" encoding="utf-8"?>
<table xmlns="http://schemas.openxmlformats.org/spreadsheetml/2006/main" ref="A20:F362" displayName="Table" name="Table" id="7">
  <tableColumns count="6">
    <tableColumn name="Month" id="1"/>
    <tableColumn name="Paid/EMI" id="2"/>
    <tableColumn name="Towards Loan" id="3"/>
    <tableColumn name="Towards Interest" id="4"/>
    <tableColumn name="Outstanding Loan" id="5"/>
    <tableColumn name="Prepayment?" id="6"/>
  </tableColumns>
  <tableStyleInfo name="Calculator-style" showColumnStripes="0" showFirstColumn="1" showLastColumn="1" showRowStripes="1"/>
</table>
</file>

<file path=xl/tables/table8.xml><?xml version="1.0" encoding="utf-8"?>
<table xmlns="http://schemas.openxmlformats.org/spreadsheetml/2006/main" ref="A1:B39" displayName="Rashmitha" name="Rashmitha" id="8">
  <tableColumns count="2">
    <tableColumn name="Date" id="1"/>
    <tableColumn name="Amount" id="2"/>
  </tableColumns>
  <tableStyleInfo name="Rashmith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3" max="4" width="7.25"/>
    <col customWidth="1" min="7" max="7" width="5.63"/>
    <col customWidth="1" min="8" max="8" width="14.0"/>
    <col customWidth="1" min="10" max="10" width="5.75"/>
    <col customWidth="1" min="13" max="13" width="7.75"/>
    <col customWidth="1" min="14" max="14" width="15.0"/>
    <col customWidth="1" min="15" max="15" width="15.88"/>
  </cols>
  <sheetData>
    <row r="1" ht="22.5" customHeight="1">
      <c r="A1" s="1" t="s">
        <v>0</v>
      </c>
      <c r="B1" s="1" t="s">
        <v>1</v>
      </c>
      <c r="E1" s="1" t="s">
        <v>0</v>
      </c>
      <c r="F1" s="1" t="s">
        <v>2</v>
      </c>
      <c r="H1" s="1" t="s">
        <v>0</v>
      </c>
      <c r="I1" s="1" t="s">
        <v>2</v>
      </c>
      <c r="K1" s="1" t="s">
        <v>0</v>
      </c>
      <c r="L1" s="1" t="s">
        <v>2</v>
      </c>
    </row>
    <row r="2" ht="22.5" customHeight="1">
      <c r="A2" s="2" t="s">
        <v>3</v>
      </c>
      <c r="B2" s="3">
        <f>SUM(B3:B1001)</f>
        <v>4939610</v>
      </c>
      <c r="E2" s="2" t="s">
        <v>3</v>
      </c>
      <c r="F2" s="3">
        <f>SUM(F3:F25)</f>
        <v>7252890</v>
      </c>
      <c r="H2" s="2" t="s">
        <v>3</v>
      </c>
      <c r="I2" s="3">
        <f>SUM(I3:I99)</f>
        <v>2637500</v>
      </c>
      <c r="K2" s="2" t="s">
        <v>3</v>
      </c>
      <c r="L2" s="3">
        <f>SUM(L3:L99)</f>
        <v>848628</v>
      </c>
      <c r="N2" s="4" t="s">
        <v>4</v>
      </c>
      <c r="O2" s="4" t="s">
        <v>2</v>
      </c>
    </row>
    <row r="3" ht="22.5" customHeight="1">
      <c r="A3" s="5">
        <v>45201.0</v>
      </c>
      <c r="B3" s="6">
        <v>450000.0</v>
      </c>
      <c r="E3" s="7">
        <v>45334.0</v>
      </c>
      <c r="F3" s="8">
        <v>3630120.0</v>
      </c>
      <c r="H3" s="9">
        <v>45356.0</v>
      </c>
      <c r="I3" s="10">
        <v>100000.0</v>
      </c>
      <c r="K3" s="11">
        <v>45351.0</v>
      </c>
      <c r="L3" s="12">
        <v>14948.0</v>
      </c>
      <c r="N3" s="8" t="s">
        <v>5</v>
      </c>
      <c r="O3" s="13">
        <f>F2</f>
        <v>7252890</v>
      </c>
    </row>
    <row r="4" ht="22.5" customHeight="1">
      <c r="A4" s="9">
        <v>45241.0</v>
      </c>
      <c r="B4" s="10">
        <v>605000.0</v>
      </c>
      <c r="E4" s="7">
        <v>45387.0</v>
      </c>
      <c r="F4" s="8">
        <v>605000.0</v>
      </c>
      <c r="H4" s="9">
        <v>45383.0</v>
      </c>
      <c r="I4" s="10">
        <v>12500.0</v>
      </c>
      <c r="K4" s="11">
        <v>45382.0</v>
      </c>
      <c r="L4" s="12">
        <v>25232.0</v>
      </c>
      <c r="N4" s="8" t="s">
        <v>6</v>
      </c>
      <c r="O4" s="13">
        <f>L2</f>
        <v>848628</v>
      </c>
    </row>
    <row r="5" ht="22.5" customHeight="1">
      <c r="A5" s="14">
        <v>45242.0</v>
      </c>
      <c r="B5" s="6">
        <v>492000.0</v>
      </c>
      <c r="E5" s="7">
        <v>45532.0</v>
      </c>
      <c r="F5" s="8">
        <v>1815000.0</v>
      </c>
      <c r="H5" s="9">
        <v>45387.0</v>
      </c>
      <c r="I5" s="10">
        <v>87500.0</v>
      </c>
      <c r="K5" s="11">
        <v>45412.0</v>
      </c>
      <c r="L5" s="12">
        <v>27495.0</v>
      </c>
      <c r="N5" s="8" t="s">
        <v>7</v>
      </c>
      <c r="O5" s="13">
        <f>I2</f>
        <v>2637500</v>
      </c>
    </row>
    <row r="6" ht="22.5" customHeight="1">
      <c r="A6" s="14">
        <v>45243.0</v>
      </c>
      <c r="B6" s="6">
        <v>488000.0</v>
      </c>
      <c r="E6" s="7">
        <v>45666.0</v>
      </c>
      <c r="F6" s="8">
        <v>1202770.0</v>
      </c>
      <c r="H6" s="9">
        <v>45413.0</v>
      </c>
      <c r="I6" s="10">
        <v>12500.0</v>
      </c>
      <c r="K6" s="11">
        <v>45443.0</v>
      </c>
      <c r="L6" s="12">
        <v>28467.0</v>
      </c>
      <c r="N6" s="8" t="s">
        <v>8</v>
      </c>
      <c r="O6" s="13">
        <f>O3+O4-O5</f>
        <v>5464018</v>
      </c>
    </row>
    <row r="7" ht="22.5" customHeight="1">
      <c r="A7" s="14">
        <v>45244.0</v>
      </c>
      <c r="B7" s="6">
        <v>493000.0</v>
      </c>
      <c r="E7" s="15"/>
      <c r="F7" s="16"/>
      <c r="H7" s="9">
        <v>45417.0</v>
      </c>
      <c r="I7" s="10">
        <v>87500.0</v>
      </c>
      <c r="K7" s="11">
        <v>45473.0</v>
      </c>
      <c r="L7" s="12">
        <v>26406.0</v>
      </c>
      <c r="N7" s="8" t="s">
        <v>9</v>
      </c>
      <c r="O7" s="13">
        <f>O5-O4</f>
        <v>1788872</v>
      </c>
    </row>
    <row r="8" ht="22.5" customHeight="1">
      <c r="A8" s="14">
        <v>45245.0</v>
      </c>
      <c r="B8" s="6">
        <v>487000.0</v>
      </c>
      <c r="E8" s="15"/>
      <c r="F8" s="16"/>
      <c r="H8" s="9">
        <v>45444.0</v>
      </c>
      <c r="I8" s="10">
        <v>12500.0</v>
      </c>
      <c r="K8" s="11">
        <v>45504.0</v>
      </c>
      <c r="L8" s="12">
        <v>26374.0</v>
      </c>
      <c r="N8" s="17" t="s">
        <v>10</v>
      </c>
      <c r="O8" s="18">
        <f>O5+B2</f>
        <v>7577110</v>
      </c>
    </row>
    <row r="9" ht="22.5" customHeight="1">
      <c r="A9" s="14">
        <v>45245.0</v>
      </c>
      <c r="B9" s="6">
        <v>90000.0</v>
      </c>
      <c r="E9" s="15"/>
      <c r="F9" s="16"/>
      <c r="H9" s="9">
        <v>45448.0</v>
      </c>
      <c r="I9" s="10">
        <v>87500.0</v>
      </c>
      <c r="K9" s="11">
        <v>45535.0</v>
      </c>
      <c r="L9" s="12">
        <v>27513.0</v>
      </c>
    </row>
    <row r="10" ht="22.5" customHeight="1">
      <c r="A10" s="9">
        <v>45316.0</v>
      </c>
      <c r="B10" s="10">
        <v>605000.0</v>
      </c>
      <c r="E10" s="15"/>
      <c r="F10" s="16"/>
      <c r="H10" s="9">
        <v>45455.0</v>
      </c>
      <c r="I10" s="10">
        <v>150000.0</v>
      </c>
      <c r="K10" s="11">
        <v>45565.0</v>
      </c>
      <c r="L10" s="12">
        <v>37060.0</v>
      </c>
    </row>
    <row r="11" ht="22.5" customHeight="1">
      <c r="A11" s="9">
        <v>45530.0</v>
      </c>
      <c r="B11" s="10">
        <v>617380.0</v>
      </c>
      <c r="E11" s="15"/>
      <c r="F11" s="16"/>
      <c r="H11" s="9">
        <v>45473.0</v>
      </c>
      <c r="I11" s="10">
        <v>12500.0</v>
      </c>
      <c r="K11" s="11">
        <v>45596.0</v>
      </c>
      <c r="L11" s="12">
        <v>37852.0</v>
      </c>
    </row>
    <row r="12" ht="22.5" customHeight="1">
      <c r="A12" s="9">
        <v>45665.0</v>
      </c>
      <c r="B12" s="10">
        <v>612230.0</v>
      </c>
      <c r="E12" s="15"/>
      <c r="F12" s="16"/>
      <c r="H12" s="9">
        <v>45478.0</v>
      </c>
      <c r="I12" s="10">
        <v>87500.0</v>
      </c>
      <c r="K12" s="11">
        <v>45626.0</v>
      </c>
      <c r="L12" s="12">
        <v>36207.0</v>
      </c>
    </row>
    <row r="13" ht="22.5" customHeight="1">
      <c r="E13" s="15"/>
      <c r="F13" s="16"/>
      <c r="H13" s="9">
        <v>45505.0</v>
      </c>
      <c r="I13" s="10">
        <v>12500.0</v>
      </c>
      <c r="K13" s="11">
        <v>45657.0</v>
      </c>
      <c r="L13" s="12">
        <v>36959.0</v>
      </c>
    </row>
    <row r="14" ht="22.5" customHeight="1">
      <c r="E14" s="15"/>
      <c r="F14" s="16"/>
      <c r="H14" s="9">
        <v>45509.0</v>
      </c>
      <c r="I14" s="10">
        <v>87500.0</v>
      </c>
      <c r="K14" s="11">
        <v>45688.0</v>
      </c>
      <c r="L14" s="12">
        <v>42840.0</v>
      </c>
    </row>
    <row r="15" ht="22.5" customHeight="1">
      <c r="E15" s="15"/>
      <c r="F15" s="16"/>
      <c r="H15" s="9">
        <v>45540.0</v>
      </c>
      <c r="I15" s="10">
        <v>87500.0</v>
      </c>
      <c r="K15" s="11">
        <v>45716.0</v>
      </c>
      <c r="L15" s="12">
        <v>39722.0</v>
      </c>
    </row>
    <row r="16" ht="22.5" customHeight="1">
      <c r="E16" s="19"/>
      <c r="H16" s="9">
        <v>45564.0</v>
      </c>
      <c r="I16" s="10">
        <v>12500.0</v>
      </c>
      <c r="K16" s="11">
        <v>45747.0</v>
      </c>
      <c r="L16" s="12">
        <v>42888.0</v>
      </c>
    </row>
    <row r="17" ht="22.5" customHeight="1">
      <c r="E17" s="19"/>
      <c r="H17" s="9">
        <v>45570.0</v>
      </c>
      <c r="I17" s="10">
        <v>87500.0</v>
      </c>
      <c r="K17" s="11">
        <v>45777.0</v>
      </c>
      <c r="L17" s="12">
        <v>40451.0</v>
      </c>
    </row>
    <row r="18" ht="22.5" customHeight="1">
      <c r="E18" s="19"/>
      <c r="H18" s="9">
        <v>45597.0</v>
      </c>
      <c r="I18" s="10">
        <v>12500.0</v>
      </c>
      <c r="K18" s="11">
        <v>45808.0</v>
      </c>
      <c r="L18" s="12">
        <v>40784.0</v>
      </c>
    </row>
    <row r="19" ht="22.5" customHeight="1">
      <c r="E19" s="19"/>
      <c r="H19" s="9">
        <v>45601.0</v>
      </c>
      <c r="I19" s="10">
        <v>87500.0</v>
      </c>
      <c r="K19" s="11">
        <v>45838.0</v>
      </c>
      <c r="L19" s="12">
        <v>37763.0</v>
      </c>
    </row>
    <row r="20" ht="22.5" customHeight="1">
      <c r="E20" s="19"/>
      <c r="H20" s="9">
        <v>45627.0</v>
      </c>
      <c r="I20" s="10">
        <v>12500.0</v>
      </c>
      <c r="K20" s="11">
        <v>45869.0</v>
      </c>
      <c r="L20" s="12">
        <v>37428.0</v>
      </c>
    </row>
    <row r="21" ht="22.5" customHeight="1">
      <c r="E21" s="19"/>
      <c r="H21" s="9">
        <v>45631.0</v>
      </c>
      <c r="I21" s="10">
        <v>87500.0</v>
      </c>
      <c r="K21" s="11">
        <v>45900.0</v>
      </c>
      <c r="L21" s="12">
        <v>37032.0</v>
      </c>
    </row>
    <row r="22" ht="22.5" customHeight="1">
      <c r="E22" s="19"/>
      <c r="H22" s="9">
        <v>45658.0</v>
      </c>
      <c r="I22" s="10">
        <v>12500.0</v>
      </c>
      <c r="K22" s="11">
        <v>45930.0</v>
      </c>
      <c r="L22" s="12">
        <v>35464.0</v>
      </c>
    </row>
    <row r="23" ht="22.5" customHeight="1">
      <c r="E23" s="19"/>
      <c r="H23" s="9">
        <v>45662.0</v>
      </c>
      <c r="I23" s="10">
        <v>87500.0</v>
      </c>
      <c r="K23" s="11">
        <v>45961.0</v>
      </c>
      <c r="L23" s="12">
        <v>36241.0</v>
      </c>
    </row>
    <row r="24" ht="22.5" customHeight="1">
      <c r="E24" s="19"/>
      <c r="H24" s="9">
        <v>45689.0</v>
      </c>
      <c r="I24" s="10">
        <v>12500.0</v>
      </c>
      <c r="K24" s="11">
        <v>45991.0</v>
      </c>
      <c r="L24" s="12">
        <v>34684.0</v>
      </c>
    </row>
    <row r="25" ht="22.5" customHeight="1">
      <c r="E25" s="19"/>
      <c r="H25" s="9">
        <v>45693.0</v>
      </c>
      <c r="I25" s="10">
        <v>87500.0</v>
      </c>
      <c r="K25" s="11">
        <v>46022.0</v>
      </c>
      <c r="L25" s="12">
        <v>34773.0</v>
      </c>
    </row>
    <row r="26" ht="22.5" customHeight="1">
      <c r="E26" s="19"/>
      <c r="H26" s="9">
        <v>45718.0</v>
      </c>
      <c r="I26" s="10">
        <v>12500.0</v>
      </c>
      <c r="K26" s="11">
        <v>46053.0</v>
      </c>
      <c r="L26" s="12">
        <v>33837.0</v>
      </c>
    </row>
    <row r="27" ht="22.5" customHeight="1">
      <c r="E27" s="19"/>
      <c r="H27" s="9">
        <v>45721.0</v>
      </c>
      <c r="I27" s="10">
        <v>87500.0</v>
      </c>
      <c r="K27" s="11">
        <v>46081.0</v>
      </c>
      <c r="L27" s="12">
        <v>30208.0</v>
      </c>
    </row>
    <row r="28" ht="22.5" customHeight="1">
      <c r="E28" s="19"/>
      <c r="H28" s="9">
        <v>45749.0</v>
      </c>
      <c r="I28" s="10">
        <v>12500.0</v>
      </c>
      <c r="K28" s="11"/>
      <c r="L28" s="12"/>
    </row>
    <row r="29" ht="22.5" customHeight="1">
      <c r="E29" s="19"/>
      <c r="H29" s="9">
        <v>45752.0</v>
      </c>
      <c r="I29" s="10">
        <v>87500.0</v>
      </c>
      <c r="K29" s="11"/>
      <c r="L29" s="12"/>
    </row>
    <row r="30" ht="22.5" customHeight="1">
      <c r="E30" s="19"/>
      <c r="H30" s="9">
        <v>45778.0</v>
      </c>
      <c r="I30" s="10">
        <v>12500.0</v>
      </c>
    </row>
    <row r="31" ht="22.5" customHeight="1">
      <c r="E31" s="19"/>
      <c r="H31" s="9">
        <v>45782.0</v>
      </c>
      <c r="I31" s="10">
        <v>87500.0</v>
      </c>
    </row>
    <row r="32" ht="22.5" customHeight="1">
      <c r="E32" s="19"/>
      <c r="H32" s="9">
        <v>45809.0</v>
      </c>
      <c r="I32" s="10">
        <v>12500.0</v>
      </c>
    </row>
    <row r="33" ht="22.5" customHeight="1">
      <c r="E33" s="19"/>
      <c r="H33" s="9">
        <v>45813.0</v>
      </c>
      <c r="I33" s="10">
        <v>87500.0</v>
      </c>
    </row>
    <row r="34" ht="22.5" customHeight="1">
      <c r="E34" s="19"/>
      <c r="H34" s="9">
        <v>45839.0</v>
      </c>
      <c r="I34" s="10">
        <v>12500.0</v>
      </c>
    </row>
    <row r="35" ht="22.5" customHeight="1">
      <c r="E35" s="19"/>
      <c r="H35" s="9">
        <v>45843.0</v>
      </c>
      <c r="I35" s="10">
        <v>87500.0</v>
      </c>
    </row>
    <row r="36" ht="22.5" customHeight="1">
      <c r="E36" s="19"/>
      <c r="H36" s="9">
        <v>45870.0</v>
      </c>
      <c r="I36" s="10">
        <v>12500.0</v>
      </c>
    </row>
    <row r="37" ht="22.5" customHeight="1">
      <c r="E37" s="19"/>
      <c r="H37" s="9">
        <v>45874.0</v>
      </c>
      <c r="I37" s="10">
        <v>87500.0</v>
      </c>
    </row>
    <row r="38" ht="22.5" customHeight="1">
      <c r="E38" s="19"/>
      <c r="H38" s="9">
        <v>45899.0</v>
      </c>
      <c r="I38" s="10">
        <v>12500.0</v>
      </c>
    </row>
    <row r="39" ht="22.5" customHeight="1">
      <c r="E39" s="19"/>
      <c r="H39" s="9">
        <v>45905.0</v>
      </c>
      <c r="I39" s="10">
        <v>87500.0</v>
      </c>
    </row>
    <row r="40" ht="22.5" customHeight="1">
      <c r="E40" s="19"/>
      <c r="H40" s="9">
        <v>45931.0</v>
      </c>
      <c r="I40" s="10">
        <v>12500.0</v>
      </c>
    </row>
    <row r="41" ht="22.5" customHeight="1">
      <c r="E41" s="19"/>
      <c r="H41" s="9">
        <v>45935.0</v>
      </c>
      <c r="I41" s="10">
        <v>87500.0</v>
      </c>
    </row>
    <row r="42" ht="22.5" customHeight="1">
      <c r="E42" s="19"/>
      <c r="H42" s="9">
        <v>45962.0</v>
      </c>
      <c r="I42" s="10">
        <v>12500.0</v>
      </c>
    </row>
    <row r="43" ht="22.5" customHeight="1">
      <c r="E43" s="19"/>
      <c r="H43" s="9">
        <v>45966.0</v>
      </c>
      <c r="I43" s="10">
        <v>87500.0</v>
      </c>
    </row>
    <row r="44" ht="22.5" customHeight="1">
      <c r="E44" s="19"/>
      <c r="H44" s="9">
        <v>45992.0</v>
      </c>
      <c r="I44" s="10">
        <v>12500.0</v>
      </c>
    </row>
    <row r="45" ht="22.5" customHeight="1">
      <c r="E45" s="19"/>
      <c r="H45" s="9">
        <v>45996.0</v>
      </c>
      <c r="I45" s="10">
        <v>87500.0</v>
      </c>
    </row>
    <row r="46" ht="22.5" customHeight="1">
      <c r="E46" s="19"/>
      <c r="H46" s="9">
        <v>46022.0</v>
      </c>
      <c r="I46" s="10">
        <v>12500.0</v>
      </c>
    </row>
    <row r="47" ht="22.5" customHeight="1">
      <c r="E47" s="19"/>
      <c r="H47" s="9">
        <v>46027.0</v>
      </c>
      <c r="I47" s="10">
        <v>87500.0</v>
      </c>
    </row>
    <row r="48" ht="22.5" customHeight="1">
      <c r="E48" s="19"/>
      <c r="H48" s="9">
        <v>46054.0</v>
      </c>
      <c r="I48" s="10">
        <v>12500.0</v>
      </c>
    </row>
    <row r="49" ht="22.5" customHeight="1">
      <c r="E49" s="19"/>
      <c r="H49" s="9">
        <v>46058.0</v>
      </c>
      <c r="I49" s="10">
        <v>87500.0</v>
      </c>
    </row>
    <row r="50" ht="22.5" customHeight="1">
      <c r="E50" s="19"/>
      <c r="H50" s="9">
        <v>46082.0</v>
      </c>
      <c r="I50" s="10">
        <v>12500.0</v>
      </c>
    </row>
    <row r="51" ht="22.5" customHeight="1">
      <c r="E51" s="19"/>
      <c r="H51" s="9">
        <v>46086.0</v>
      </c>
      <c r="I51" s="10">
        <v>87500.0</v>
      </c>
    </row>
    <row r="52">
      <c r="E52" s="19"/>
    </row>
    <row r="53">
      <c r="E53" s="19"/>
    </row>
    <row r="54">
      <c r="E54" s="19"/>
    </row>
    <row r="55">
      <c r="E55" s="19"/>
    </row>
    <row r="56">
      <c r="E56" s="19"/>
    </row>
    <row r="57">
      <c r="E57" s="19"/>
    </row>
    <row r="58">
      <c r="E58" s="19"/>
    </row>
    <row r="59">
      <c r="E59" s="19"/>
    </row>
    <row r="60">
      <c r="E60" s="19"/>
    </row>
    <row r="61">
      <c r="E61" s="19"/>
    </row>
    <row r="62">
      <c r="E62" s="19"/>
    </row>
    <row r="63">
      <c r="E63" s="19"/>
    </row>
    <row r="64">
      <c r="E64" s="19"/>
    </row>
    <row r="65">
      <c r="E65" s="19"/>
    </row>
    <row r="66">
      <c r="E66" s="19"/>
    </row>
    <row r="67">
      <c r="E67" s="19"/>
    </row>
    <row r="68">
      <c r="E68" s="19"/>
    </row>
    <row r="69">
      <c r="E69" s="19"/>
    </row>
    <row r="70">
      <c r="E70" s="19"/>
    </row>
    <row r="71">
      <c r="E71" s="19"/>
    </row>
    <row r="72">
      <c r="E72" s="19"/>
    </row>
    <row r="73">
      <c r="E73" s="19"/>
    </row>
    <row r="74">
      <c r="E74" s="19"/>
    </row>
    <row r="75">
      <c r="E75" s="19"/>
    </row>
    <row r="76">
      <c r="E76" s="19"/>
    </row>
    <row r="77">
      <c r="E77" s="19"/>
    </row>
    <row r="78">
      <c r="E78" s="19"/>
    </row>
    <row r="79">
      <c r="E79" s="19"/>
    </row>
    <row r="80">
      <c r="E80" s="19"/>
    </row>
    <row r="81">
      <c r="E81" s="19"/>
    </row>
    <row r="82">
      <c r="E82" s="19"/>
    </row>
    <row r="83">
      <c r="E83" s="19"/>
    </row>
    <row r="84">
      <c r="E84" s="19"/>
    </row>
    <row r="85">
      <c r="E85" s="19"/>
    </row>
    <row r="86">
      <c r="E86" s="19"/>
    </row>
    <row r="87">
      <c r="E87" s="19"/>
    </row>
    <row r="88">
      <c r="E88" s="19"/>
    </row>
    <row r="89">
      <c r="E89" s="19"/>
    </row>
    <row r="90">
      <c r="E90" s="19"/>
    </row>
    <row r="91">
      <c r="E91" s="19"/>
    </row>
    <row r="92">
      <c r="E92" s="19"/>
    </row>
    <row r="93">
      <c r="E93" s="19"/>
    </row>
    <row r="94">
      <c r="E94" s="19"/>
    </row>
    <row r="95">
      <c r="E95" s="19"/>
    </row>
    <row r="96">
      <c r="E96" s="19"/>
    </row>
    <row r="97">
      <c r="E97" s="19"/>
    </row>
    <row r="98">
      <c r="E98" s="19"/>
    </row>
    <row r="99">
      <c r="E99" s="19"/>
    </row>
    <row r="100">
      <c r="E100" s="19"/>
    </row>
    <row r="101">
      <c r="E101" s="19"/>
    </row>
    <row r="102">
      <c r="E102" s="19"/>
    </row>
    <row r="103">
      <c r="E103" s="19"/>
    </row>
    <row r="104">
      <c r="E104" s="19"/>
    </row>
    <row r="105">
      <c r="E105" s="19"/>
    </row>
    <row r="106">
      <c r="E106" s="19"/>
    </row>
    <row r="107">
      <c r="E107" s="19"/>
    </row>
    <row r="108">
      <c r="E108" s="19"/>
    </row>
    <row r="109">
      <c r="E109" s="19"/>
    </row>
    <row r="110">
      <c r="E110" s="19"/>
    </row>
    <row r="111">
      <c r="E111" s="19"/>
    </row>
    <row r="112">
      <c r="E112" s="19"/>
    </row>
    <row r="113">
      <c r="E113" s="19"/>
    </row>
    <row r="114">
      <c r="E114" s="19"/>
    </row>
    <row r="115">
      <c r="E115" s="19"/>
    </row>
    <row r="116">
      <c r="E116" s="19"/>
    </row>
    <row r="117">
      <c r="E117" s="19"/>
    </row>
    <row r="118">
      <c r="E118" s="19"/>
    </row>
    <row r="119">
      <c r="E119" s="19"/>
    </row>
    <row r="120">
      <c r="E120" s="19"/>
    </row>
    <row r="121">
      <c r="E121" s="19"/>
    </row>
    <row r="122">
      <c r="E122" s="19"/>
    </row>
    <row r="123">
      <c r="E123" s="19"/>
    </row>
    <row r="124">
      <c r="E124" s="19"/>
    </row>
    <row r="125">
      <c r="E125" s="19"/>
    </row>
    <row r="126">
      <c r="E126" s="19"/>
    </row>
    <row r="127">
      <c r="E127" s="19"/>
    </row>
    <row r="128">
      <c r="E128" s="19"/>
    </row>
    <row r="129">
      <c r="E129" s="19"/>
    </row>
    <row r="130">
      <c r="E130" s="19"/>
    </row>
    <row r="131">
      <c r="E131" s="19"/>
    </row>
    <row r="132">
      <c r="E132" s="19"/>
    </row>
    <row r="133">
      <c r="E133" s="19"/>
    </row>
    <row r="134">
      <c r="E134" s="19"/>
    </row>
    <row r="135">
      <c r="E135" s="19"/>
    </row>
    <row r="136">
      <c r="E136" s="19"/>
    </row>
    <row r="137">
      <c r="E137" s="19"/>
    </row>
    <row r="138">
      <c r="E138" s="19"/>
    </row>
    <row r="139">
      <c r="E139" s="19"/>
    </row>
    <row r="140">
      <c r="E140" s="19"/>
    </row>
    <row r="141">
      <c r="E141" s="19"/>
    </row>
    <row r="142">
      <c r="E142" s="19"/>
    </row>
    <row r="143">
      <c r="E143" s="19"/>
    </row>
    <row r="144">
      <c r="E144" s="19"/>
    </row>
    <row r="145">
      <c r="E145" s="19"/>
    </row>
    <row r="146">
      <c r="E146" s="19"/>
    </row>
    <row r="147">
      <c r="E147" s="19"/>
    </row>
    <row r="148">
      <c r="E148" s="19"/>
    </row>
    <row r="149">
      <c r="E149" s="19"/>
    </row>
    <row r="150">
      <c r="E150" s="19"/>
    </row>
    <row r="151">
      <c r="E151" s="19"/>
    </row>
    <row r="152">
      <c r="E152" s="19"/>
    </row>
    <row r="153">
      <c r="E153" s="19"/>
    </row>
    <row r="154">
      <c r="E154" s="19"/>
    </row>
    <row r="155">
      <c r="E155" s="19"/>
    </row>
    <row r="156">
      <c r="E156" s="19"/>
    </row>
    <row r="157">
      <c r="E157" s="19"/>
    </row>
    <row r="158">
      <c r="E158" s="19"/>
    </row>
    <row r="159">
      <c r="E159" s="19"/>
    </row>
    <row r="160">
      <c r="E160" s="19"/>
    </row>
    <row r="161">
      <c r="E161" s="19"/>
    </row>
    <row r="162">
      <c r="E162" s="19"/>
    </row>
    <row r="163">
      <c r="E163" s="19"/>
    </row>
    <row r="164">
      <c r="E164" s="19"/>
    </row>
    <row r="165">
      <c r="E165" s="19"/>
    </row>
    <row r="166">
      <c r="E166" s="19"/>
    </row>
    <row r="167">
      <c r="E167" s="19"/>
    </row>
    <row r="168">
      <c r="E168" s="19"/>
    </row>
    <row r="169">
      <c r="E169" s="19"/>
    </row>
    <row r="170">
      <c r="E170" s="19"/>
    </row>
    <row r="171">
      <c r="E171" s="19"/>
    </row>
    <row r="172">
      <c r="E172" s="19"/>
    </row>
    <row r="173">
      <c r="E173" s="19"/>
    </row>
    <row r="174">
      <c r="E174" s="19"/>
    </row>
    <row r="175">
      <c r="E175" s="19"/>
    </row>
    <row r="176">
      <c r="E176" s="19"/>
    </row>
    <row r="177">
      <c r="E177" s="19"/>
    </row>
    <row r="178">
      <c r="E178" s="19"/>
    </row>
    <row r="179">
      <c r="E179" s="19"/>
    </row>
    <row r="180">
      <c r="E180" s="19"/>
    </row>
    <row r="181">
      <c r="E181" s="19"/>
    </row>
    <row r="182">
      <c r="E182" s="19"/>
    </row>
    <row r="183">
      <c r="E183" s="19"/>
    </row>
    <row r="184">
      <c r="E184" s="19"/>
    </row>
    <row r="185">
      <c r="E185" s="19"/>
    </row>
    <row r="186">
      <c r="E186" s="19"/>
    </row>
    <row r="187">
      <c r="E187" s="19"/>
    </row>
    <row r="188">
      <c r="E188" s="19"/>
    </row>
    <row r="189">
      <c r="E189" s="19"/>
    </row>
    <row r="190">
      <c r="E190" s="19"/>
    </row>
    <row r="191">
      <c r="E191" s="19"/>
    </row>
    <row r="192">
      <c r="E192" s="19"/>
    </row>
    <row r="193">
      <c r="E193" s="19"/>
    </row>
    <row r="194">
      <c r="E194" s="19"/>
    </row>
    <row r="195">
      <c r="E195" s="19"/>
    </row>
    <row r="196">
      <c r="E196" s="19"/>
    </row>
    <row r="197">
      <c r="E197" s="19"/>
    </row>
    <row r="198">
      <c r="E198" s="19"/>
    </row>
    <row r="199">
      <c r="E199" s="19"/>
    </row>
    <row r="200">
      <c r="E200" s="19"/>
    </row>
    <row r="201">
      <c r="E201" s="19"/>
    </row>
    <row r="202">
      <c r="E202" s="19"/>
    </row>
    <row r="203">
      <c r="E203" s="19"/>
    </row>
    <row r="204">
      <c r="E204" s="19"/>
    </row>
    <row r="205">
      <c r="E205" s="19"/>
    </row>
    <row r="206">
      <c r="E206" s="19"/>
    </row>
    <row r="207">
      <c r="E207" s="19"/>
    </row>
    <row r="208">
      <c r="E208" s="19"/>
    </row>
    <row r="209">
      <c r="E209" s="19"/>
    </row>
    <row r="210">
      <c r="E210" s="19"/>
    </row>
    <row r="211">
      <c r="E211" s="19"/>
    </row>
    <row r="212">
      <c r="E212" s="19"/>
    </row>
    <row r="213">
      <c r="E213" s="19"/>
    </row>
    <row r="214">
      <c r="E214" s="19"/>
    </row>
    <row r="215">
      <c r="E215" s="19"/>
    </row>
    <row r="216">
      <c r="E216" s="19"/>
    </row>
    <row r="217">
      <c r="E217" s="19"/>
    </row>
    <row r="218">
      <c r="E218" s="19"/>
    </row>
    <row r="219">
      <c r="E219" s="19"/>
    </row>
    <row r="220">
      <c r="E220" s="19"/>
    </row>
    <row r="221">
      <c r="E221" s="19"/>
    </row>
    <row r="222">
      <c r="E222" s="19"/>
    </row>
    <row r="223">
      <c r="E223" s="19"/>
    </row>
    <row r="224">
      <c r="E224" s="19"/>
    </row>
    <row r="225">
      <c r="E225" s="19"/>
    </row>
    <row r="226">
      <c r="E226" s="19"/>
    </row>
    <row r="227">
      <c r="E227" s="19"/>
    </row>
    <row r="228">
      <c r="E228" s="19"/>
    </row>
    <row r="229">
      <c r="E229" s="19"/>
    </row>
    <row r="230">
      <c r="E230" s="19"/>
    </row>
    <row r="231">
      <c r="E231" s="19"/>
    </row>
    <row r="232">
      <c r="E232" s="19"/>
    </row>
    <row r="233">
      <c r="E233" s="19"/>
    </row>
    <row r="234">
      <c r="E234" s="19"/>
    </row>
    <row r="235">
      <c r="E235" s="19"/>
    </row>
    <row r="236">
      <c r="E236" s="19"/>
    </row>
    <row r="237">
      <c r="E237" s="19"/>
    </row>
    <row r="238">
      <c r="E238" s="19"/>
    </row>
    <row r="239">
      <c r="E239" s="19"/>
    </row>
    <row r="240">
      <c r="E240" s="19"/>
    </row>
    <row r="241">
      <c r="E241" s="19"/>
    </row>
    <row r="242">
      <c r="E242" s="19"/>
    </row>
    <row r="243">
      <c r="E243" s="19"/>
    </row>
    <row r="244">
      <c r="E244" s="19"/>
    </row>
    <row r="245">
      <c r="E245" s="19"/>
    </row>
    <row r="246">
      <c r="E246" s="19"/>
    </row>
    <row r="247">
      <c r="E247" s="19"/>
    </row>
    <row r="248">
      <c r="E248" s="19"/>
    </row>
    <row r="249">
      <c r="E249" s="19"/>
    </row>
    <row r="250">
      <c r="E250" s="19"/>
    </row>
    <row r="251">
      <c r="E251" s="19"/>
    </row>
    <row r="252">
      <c r="E252" s="19"/>
    </row>
    <row r="253">
      <c r="E253" s="19"/>
    </row>
    <row r="254">
      <c r="E254" s="19"/>
    </row>
    <row r="255">
      <c r="E255" s="19"/>
    </row>
    <row r="256">
      <c r="E256" s="19"/>
    </row>
    <row r="257">
      <c r="E257" s="19"/>
    </row>
    <row r="258">
      <c r="E258" s="19"/>
    </row>
    <row r="259">
      <c r="E259" s="19"/>
    </row>
    <row r="260">
      <c r="E260" s="19"/>
    </row>
    <row r="261">
      <c r="E261" s="19"/>
    </row>
    <row r="262">
      <c r="E262" s="19"/>
    </row>
    <row r="263">
      <c r="E263" s="19"/>
    </row>
    <row r="264">
      <c r="E264" s="19"/>
    </row>
    <row r="265">
      <c r="E265" s="19"/>
    </row>
    <row r="266">
      <c r="E266" s="19"/>
    </row>
    <row r="267">
      <c r="E267" s="19"/>
    </row>
    <row r="268">
      <c r="E268" s="19"/>
    </row>
    <row r="269">
      <c r="E269" s="19"/>
    </row>
    <row r="270">
      <c r="E270" s="19"/>
    </row>
    <row r="271">
      <c r="E271" s="19"/>
    </row>
    <row r="272">
      <c r="E272" s="19"/>
    </row>
    <row r="273">
      <c r="E273" s="19"/>
    </row>
    <row r="274">
      <c r="E274" s="19"/>
    </row>
    <row r="275">
      <c r="E275" s="19"/>
    </row>
    <row r="276">
      <c r="E276" s="19"/>
    </row>
    <row r="277">
      <c r="E277" s="19"/>
    </row>
    <row r="278">
      <c r="E278" s="19"/>
    </row>
    <row r="279">
      <c r="E279" s="19"/>
    </row>
    <row r="280">
      <c r="E280" s="19"/>
    </row>
    <row r="281">
      <c r="E281" s="19"/>
    </row>
    <row r="282">
      <c r="E282" s="19"/>
    </row>
    <row r="283">
      <c r="E283" s="19"/>
    </row>
    <row r="284">
      <c r="E284" s="19"/>
    </row>
    <row r="285">
      <c r="E285" s="19"/>
    </row>
    <row r="286">
      <c r="E286" s="19"/>
    </row>
    <row r="287">
      <c r="E287" s="19"/>
    </row>
    <row r="288">
      <c r="E288" s="19"/>
    </row>
    <row r="289">
      <c r="E289" s="19"/>
    </row>
    <row r="290">
      <c r="E290" s="19"/>
    </row>
    <row r="291">
      <c r="E291" s="19"/>
    </row>
    <row r="292">
      <c r="E292" s="19"/>
    </row>
    <row r="293">
      <c r="E293" s="19"/>
    </row>
    <row r="294">
      <c r="E294" s="19"/>
    </row>
    <row r="295">
      <c r="E295" s="19"/>
    </row>
    <row r="296">
      <c r="E296" s="19"/>
    </row>
    <row r="297">
      <c r="E297" s="19"/>
    </row>
    <row r="298">
      <c r="E298" s="19"/>
    </row>
    <row r="299">
      <c r="E299" s="19"/>
    </row>
    <row r="300">
      <c r="E300" s="19"/>
    </row>
    <row r="301">
      <c r="E301" s="19"/>
    </row>
    <row r="302">
      <c r="E302" s="19"/>
    </row>
    <row r="303">
      <c r="E303" s="19"/>
    </row>
    <row r="304">
      <c r="E304" s="19"/>
    </row>
    <row r="305">
      <c r="E305" s="19"/>
    </row>
    <row r="306">
      <c r="E306" s="19"/>
    </row>
    <row r="307">
      <c r="E307" s="19"/>
    </row>
    <row r="308">
      <c r="E308" s="19"/>
    </row>
    <row r="309">
      <c r="E309" s="19"/>
    </row>
    <row r="310">
      <c r="E310" s="19"/>
    </row>
    <row r="311">
      <c r="E311" s="19"/>
    </row>
    <row r="312">
      <c r="E312" s="19"/>
    </row>
    <row r="313">
      <c r="E313" s="19"/>
    </row>
    <row r="314">
      <c r="E314" s="19"/>
    </row>
    <row r="315">
      <c r="E315" s="19"/>
    </row>
    <row r="316">
      <c r="E316" s="19"/>
    </row>
    <row r="317">
      <c r="E317" s="19"/>
    </row>
    <row r="318">
      <c r="E318" s="19"/>
    </row>
    <row r="319">
      <c r="E319" s="19"/>
    </row>
    <row r="320">
      <c r="E320" s="19"/>
    </row>
    <row r="321">
      <c r="E321" s="19"/>
    </row>
    <row r="322">
      <c r="E322" s="19"/>
    </row>
    <row r="323">
      <c r="E323" s="19"/>
    </row>
    <row r="324">
      <c r="E324" s="19"/>
    </row>
    <row r="325">
      <c r="E325" s="19"/>
    </row>
    <row r="326">
      <c r="E326" s="19"/>
    </row>
    <row r="327">
      <c r="E327" s="19"/>
    </row>
    <row r="328">
      <c r="E328" s="19"/>
    </row>
    <row r="329">
      <c r="E329" s="19"/>
    </row>
    <row r="330">
      <c r="E330" s="19"/>
    </row>
    <row r="331">
      <c r="E331" s="19"/>
    </row>
    <row r="332">
      <c r="E332" s="19"/>
    </row>
    <row r="333">
      <c r="E333" s="19"/>
    </row>
    <row r="334">
      <c r="E334" s="19"/>
    </row>
    <row r="335">
      <c r="E335" s="19"/>
    </row>
    <row r="336">
      <c r="E336" s="19"/>
    </row>
    <row r="337">
      <c r="E337" s="19"/>
    </row>
    <row r="338">
      <c r="E338" s="19"/>
    </row>
    <row r="339">
      <c r="E339" s="19"/>
    </row>
    <row r="340">
      <c r="E340" s="19"/>
    </row>
    <row r="341">
      <c r="E341" s="19"/>
    </row>
    <row r="342">
      <c r="E342" s="19"/>
    </row>
    <row r="343">
      <c r="E343" s="19"/>
    </row>
    <row r="344">
      <c r="E344" s="19"/>
    </row>
    <row r="345">
      <c r="E345" s="19"/>
    </row>
    <row r="346">
      <c r="E346" s="19"/>
    </row>
    <row r="347">
      <c r="E347" s="19"/>
    </row>
    <row r="348">
      <c r="E348" s="19"/>
    </row>
    <row r="349">
      <c r="E349" s="19"/>
    </row>
    <row r="350">
      <c r="E350" s="19"/>
    </row>
    <row r="351">
      <c r="E351" s="19"/>
    </row>
    <row r="352">
      <c r="E352" s="19"/>
    </row>
    <row r="353">
      <c r="E353" s="19"/>
    </row>
    <row r="354">
      <c r="E354" s="19"/>
    </row>
    <row r="355">
      <c r="E355" s="19"/>
    </row>
    <row r="356">
      <c r="E356" s="19"/>
    </row>
    <row r="357">
      <c r="E357" s="19"/>
    </row>
    <row r="358">
      <c r="E358" s="19"/>
    </row>
    <row r="359">
      <c r="E359" s="19"/>
    </row>
    <row r="360">
      <c r="E360" s="19"/>
    </row>
    <row r="361">
      <c r="E361" s="19"/>
    </row>
    <row r="362">
      <c r="E362" s="19"/>
    </row>
    <row r="363">
      <c r="E363" s="19"/>
    </row>
    <row r="364">
      <c r="E364" s="19"/>
    </row>
    <row r="365">
      <c r="E365" s="19"/>
    </row>
    <row r="366">
      <c r="E366" s="19"/>
    </row>
    <row r="367">
      <c r="E367" s="19"/>
    </row>
    <row r="368">
      <c r="E368" s="19"/>
    </row>
    <row r="369">
      <c r="E369" s="19"/>
    </row>
    <row r="370">
      <c r="E370" s="19"/>
    </row>
    <row r="371">
      <c r="E371" s="19"/>
    </row>
    <row r="372">
      <c r="E372" s="19"/>
    </row>
    <row r="373">
      <c r="E373" s="19"/>
    </row>
    <row r="374">
      <c r="E374" s="19"/>
    </row>
    <row r="375">
      <c r="E375" s="19"/>
    </row>
    <row r="376">
      <c r="E376" s="19"/>
    </row>
    <row r="377">
      <c r="E377" s="19"/>
    </row>
    <row r="378">
      <c r="E378" s="19"/>
    </row>
    <row r="379">
      <c r="E379" s="19"/>
    </row>
    <row r="380">
      <c r="E380" s="19"/>
    </row>
    <row r="381">
      <c r="E381" s="19"/>
    </row>
    <row r="382">
      <c r="E382" s="19"/>
    </row>
    <row r="383">
      <c r="E383" s="19"/>
    </row>
    <row r="384">
      <c r="E384" s="19"/>
    </row>
    <row r="385">
      <c r="E385" s="19"/>
    </row>
    <row r="386">
      <c r="E386" s="19"/>
    </row>
    <row r="387">
      <c r="E387" s="19"/>
    </row>
    <row r="388">
      <c r="E388" s="19"/>
    </row>
    <row r="389">
      <c r="E389" s="19"/>
    </row>
    <row r="390">
      <c r="E390" s="19"/>
    </row>
    <row r="391">
      <c r="E391" s="19"/>
    </row>
    <row r="392">
      <c r="E392" s="19"/>
    </row>
    <row r="393">
      <c r="E393" s="19"/>
    </row>
    <row r="394">
      <c r="E394" s="19"/>
    </row>
    <row r="395">
      <c r="E395" s="19"/>
    </row>
    <row r="396">
      <c r="E396" s="19"/>
    </row>
    <row r="397">
      <c r="E397" s="19"/>
    </row>
    <row r="398">
      <c r="E398" s="19"/>
    </row>
    <row r="399">
      <c r="E399" s="19"/>
    </row>
    <row r="400">
      <c r="E400" s="19"/>
    </row>
    <row r="401">
      <c r="E401" s="19"/>
    </row>
    <row r="402">
      <c r="E402" s="19"/>
    </row>
    <row r="403">
      <c r="E403" s="19"/>
    </row>
    <row r="404">
      <c r="E404" s="19"/>
    </row>
    <row r="405">
      <c r="E405" s="19"/>
    </row>
    <row r="406">
      <c r="E406" s="19"/>
    </row>
    <row r="407">
      <c r="E407" s="19"/>
    </row>
    <row r="408">
      <c r="E408" s="19"/>
    </row>
    <row r="409">
      <c r="E409" s="19"/>
    </row>
    <row r="410">
      <c r="E410" s="19"/>
    </row>
    <row r="411">
      <c r="E411" s="19"/>
    </row>
    <row r="412">
      <c r="E412" s="19"/>
    </row>
    <row r="413">
      <c r="E413" s="19"/>
    </row>
    <row r="414">
      <c r="E414" s="19"/>
    </row>
    <row r="415">
      <c r="E415" s="19"/>
    </row>
    <row r="416">
      <c r="E416" s="19"/>
    </row>
    <row r="417">
      <c r="E417" s="19"/>
    </row>
    <row r="418">
      <c r="E418" s="19"/>
    </row>
    <row r="419">
      <c r="E419" s="19"/>
    </row>
    <row r="420">
      <c r="E420" s="19"/>
    </row>
    <row r="421">
      <c r="E421" s="19"/>
    </row>
    <row r="422">
      <c r="E422" s="19"/>
    </row>
    <row r="423">
      <c r="E423" s="19"/>
    </row>
    <row r="424">
      <c r="E424" s="19"/>
    </row>
    <row r="425">
      <c r="E425" s="19"/>
    </row>
    <row r="426">
      <c r="E426" s="19"/>
    </row>
    <row r="427">
      <c r="E427" s="19"/>
    </row>
    <row r="428">
      <c r="E428" s="19"/>
    </row>
    <row r="429">
      <c r="E429" s="19"/>
    </row>
    <row r="430">
      <c r="E430" s="19"/>
    </row>
    <row r="431">
      <c r="E431" s="19"/>
    </row>
    <row r="432">
      <c r="E432" s="19"/>
    </row>
    <row r="433">
      <c r="E433" s="19"/>
    </row>
    <row r="434">
      <c r="E434" s="19"/>
    </row>
    <row r="435">
      <c r="E435" s="19"/>
    </row>
    <row r="436">
      <c r="E436" s="19"/>
    </row>
    <row r="437">
      <c r="E437" s="19"/>
    </row>
    <row r="438">
      <c r="E438" s="19"/>
    </row>
    <row r="439">
      <c r="E439" s="19"/>
    </row>
    <row r="440">
      <c r="E440" s="19"/>
    </row>
    <row r="441">
      <c r="E441" s="19"/>
    </row>
    <row r="442">
      <c r="E442" s="19"/>
    </row>
    <row r="443">
      <c r="E443" s="19"/>
    </row>
    <row r="444">
      <c r="E444" s="19"/>
    </row>
    <row r="445">
      <c r="E445" s="19"/>
    </row>
    <row r="446">
      <c r="E446" s="19"/>
    </row>
    <row r="447">
      <c r="E447" s="19"/>
    </row>
    <row r="448">
      <c r="E448" s="19"/>
    </row>
    <row r="449">
      <c r="E449" s="19"/>
    </row>
    <row r="450">
      <c r="E450" s="19"/>
    </row>
    <row r="451">
      <c r="E451" s="19"/>
    </row>
    <row r="452">
      <c r="E452" s="19"/>
    </row>
    <row r="453">
      <c r="E453" s="19"/>
    </row>
    <row r="454">
      <c r="E454" s="19"/>
    </row>
    <row r="455">
      <c r="E455" s="19"/>
    </row>
    <row r="456">
      <c r="E456" s="19"/>
    </row>
    <row r="457">
      <c r="E457" s="19"/>
    </row>
    <row r="458">
      <c r="E458" s="19"/>
    </row>
    <row r="459">
      <c r="E459" s="19"/>
    </row>
    <row r="460">
      <c r="E460" s="19"/>
    </row>
    <row r="461">
      <c r="E461" s="19"/>
    </row>
    <row r="462">
      <c r="E462" s="19"/>
    </row>
    <row r="463">
      <c r="E463" s="19"/>
    </row>
    <row r="464">
      <c r="E464" s="19"/>
    </row>
    <row r="465">
      <c r="E465" s="19"/>
    </row>
    <row r="466">
      <c r="E466" s="19"/>
    </row>
    <row r="467">
      <c r="E467" s="19"/>
    </row>
    <row r="468">
      <c r="E468" s="19"/>
    </row>
    <row r="469">
      <c r="E469" s="19"/>
    </row>
    <row r="470">
      <c r="E470" s="19"/>
    </row>
    <row r="471">
      <c r="E471" s="19"/>
    </row>
    <row r="472">
      <c r="E472" s="19"/>
    </row>
    <row r="473">
      <c r="E473" s="19"/>
    </row>
    <row r="474">
      <c r="E474" s="19"/>
    </row>
    <row r="475">
      <c r="E475" s="19"/>
    </row>
    <row r="476">
      <c r="E476" s="19"/>
    </row>
    <row r="477">
      <c r="E477" s="19"/>
    </row>
    <row r="478">
      <c r="E478" s="19"/>
    </row>
    <row r="479">
      <c r="E479" s="19"/>
    </row>
    <row r="480">
      <c r="E480" s="19"/>
    </row>
    <row r="481">
      <c r="E481" s="19"/>
    </row>
    <row r="482">
      <c r="E482" s="19"/>
    </row>
    <row r="483">
      <c r="E483" s="19"/>
    </row>
    <row r="484">
      <c r="E484" s="19"/>
    </row>
    <row r="485">
      <c r="E485" s="19"/>
    </row>
    <row r="486">
      <c r="E486" s="19"/>
    </row>
    <row r="487">
      <c r="E487" s="19"/>
    </row>
    <row r="488">
      <c r="E488" s="19"/>
    </row>
    <row r="489">
      <c r="E489" s="19"/>
    </row>
    <row r="490">
      <c r="E490" s="19"/>
    </row>
    <row r="491">
      <c r="E491" s="19"/>
    </row>
    <row r="492">
      <c r="E492" s="19"/>
    </row>
    <row r="493">
      <c r="E493" s="19"/>
    </row>
    <row r="494">
      <c r="E494" s="19"/>
    </row>
    <row r="495">
      <c r="E495" s="19"/>
    </row>
    <row r="496">
      <c r="E496" s="19"/>
    </row>
    <row r="497">
      <c r="E497" s="19"/>
    </row>
    <row r="498">
      <c r="E498" s="19"/>
    </row>
    <row r="499">
      <c r="E499" s="19"/>
    </row>
    <row r="500">
      <c r="E500" s="19"/>
    </row>
    <row r="501">
      <c r="E501" s="19"/>
    </row>
    <row r="502">
      <c r="E502" s="19"/>
    </row>
    <row r="503">
      <c r="E503" s="19"/>
    </row>
    <row r="504">
      <c r="E504" s="19"/>
    </row>
    <row r="505">
      <c r="E505" s="19"/>
    </row>
    <row r="506">
      <c r="E506" s="19"/>
    </row>
    <row r="507">
      <c r="E507" s="19"/>
    </row>
    <row r="508">
      <c r="E508" s="19"/>
    </row>
    <row r="509">
      <c r="E509" s="19"/>
    </row>
    <row r="510">
      <c r="E510" s="19"/>
    </row>
    <row r="511">
      <c r="E511" s="19"/>
    </row>
    <row r="512">
      <c r="E512" s="19"/>
    </row>
    <row r="513">
      <c r="E513" s="19"/>
    </row>
    <row r="514">
      <c r="E514" s="19"/>
    </row>
    <row r="515">
      <c r="E515" s="19"/>
    </row>
    <row r="516">
      <c r="E516" s="19"/>
    </row>
    <row r="517">
      <c r="E517" s="19"/>
    </row>
    <row r="518">
      <c r="E518" s="19"/>
    </row>
    <row r="519">
      <c r="E519" s="19"/>
    </row>
    <row r="520">
      <c r="E520" s="19"/>
    </row>
    <row r="521">
      <c r="E521" s="19"/>
    </row>
    <row r="522">
      <c r="E522" s="19"/>
    </row>
    <row r="523">
      <c r="E523" s="19"/>
    </row>
    <row r="524">
      <c r="E524" s="19"/>
    </row>
    <row r="525">
      <c r="E525" s="19"/>
    </row>
    <row r="526">
      <c r="E526" s="19"/>
    </row>
    <row r="527">
      <c r="E527" s="19"/>
    </row>
    <row r="528">
      <c r="E528" s="19"/>
    </row>
    <row r="529">
      <c r="E529" s="19"/>
    </row>
    <row r="530">
      <c r="E530" s="19"/>
    </row>
    <row r="531">
      <c r="E531" s="19"/>
    </row>
    <row r="532">
      <c r="E532" s="19"/>
    </row>
    <row r="533">
      <c r="E533" s="19"/>
    </row>
    <row r="534">
      <c r="E534" s="19"/>
    </row>
    <row r="535">
      <c r="E535" s="19"/>
    </row>
    <row r="536">
      <c r="E536" s="19"/>
    </row>
    <row r="537">
      <c r="E537" s="19"/>
    </row>
    <row r="538">
      <c r="E538" s="19"/>
    </row>
    <row r="539">
      <c r="E539" s="19"/>
    </row>
    <row r="540">
      <c r="E540" s="19"/>
    </row>
    <row r="541">
      <c r="E541" s="19"/>
    </row>
    <row r="542">
      <c r="E542" s="19"/>
    </row>
    <row r="543">
      <c r="E543" s="19"/>
    </row>
    <row r="544">
      <c r="E544" s="19"/>
    </row>
    <row r="545">
      <c r="E545" s="19"/>
    </row>
    <row r="546">
      <c r="E546" s="19"/>
    </row>
    <row r="547">
      <c r="E547" s="19"/>
    </row>
    <row r="548">
      <c r="E548" s="19"/>
    </row>
    <row r="549">
      <c r="E549" s="19"/>
    </row>
    <row r="550">
      <c r="E550" s="19"/>
    </row>
    <row r="551">
      <c r="E551" s="19"/>
    </row>
    <row r="552">
      <c r="E552" s="19"/>
    </row>
    <row r="553">
      <c r="E553" s="19"/>
    </row>
    <row r="554">
      <c r="E554" s="19"/>
    </row>
    <row r="555">
      <c r="E555" s="19"/>
    </row>
    <row r="556">
      <c r="E556" s="19"/>
    </row>
    <row r="557">
      <c r="E557" s="19"/>
    </row>
    <row r="558">
      <c r="E558" s="19"/>
    </row>
    <row r="559">
      <c r="E559" s="19"/>
    </row>
    <row r="560">
      <c r="E560" s="19"/>
    </row>
    <row r="561">
      <c r="E561" s="19"/>
    </row>
    <row r="562">
      <c r="E562" s="19"/>
    </row>
    <row r="563">
      <c r="E563" s="19"/>
    </row>
    <row r="564">
      <c r="E564" s="19"/>
    </row>
    <row r="565">
      <c r="E565" s="19"/>
    </row>
    <row r="566">
      <c r="E566" s="19"/>
    </row>
    <row r="567">
      <c r="E567" s="19"/>
    </row>
    <row r="568">
      <c r="E568" s="19"/>
    </row>
    <row r="569">
      <c r="E569" s="19"/>
    </row>
    <row r="570">
      <c r="E570" s="19"/>
    </row>
    <row r="571">
      <c r="E571" s="19"/>
    </row>
    <row r="572">
      <c r="E572" s="19"/>
    </row>
    <row r="573">
      <c r="E573" s="19"/>
    </row>
    <row r="574">
      <c r="E574" s="19"/>
    </row>
    <row r="575">
      <c r="E575" s="19"/>
    </row>
    <row r="576">
      <c r="E576" s="19"/>
    </row>
    <row r="577">
      <c r="E577" s="19"/>
    </row>
    <row r="578">
      <c r="E578" s="19"/>
    </row>
    <row r="579">
      <c r="E579" s="19"/>
    </row>
    <row r="580">
      <c r="E580" s="19"/>
    </row>
    <row r="581">
      <c r="E581" s="19"/>
    </row>
    <row r="582">
      <c r="E582" s="19"/>
    </row>
    <row r="583">
      <c r="E583" s="19"/>
    </row>
    <row r="584">
      <c r="E584" s="19"/>
    </row>
    <row r="585">
      <c r="E585" s="19"/>
    </row>
    <row r="586">
      <c r="E586" s="19"/>
    </row>
    <row r="587">
      <c r="E587" s="19"/>
    </row>
    <row r="588">
      <c r="E588" s="19"/>
    </row>
    <row r="589">
      <c r="E589" s="19"/>
    </row>
    <row r="590">
      <c r="E590" s="19"/>
    </row>
    <row r="591">
      <c r="E591" s="19"/>
    </row>
    <row r="592">
      <c r="E592" s="19"/>
    </row>
    <row r="593">
      <c r="E593" s="19"/>
    </row>
    <row r="594">
      <c r="E594" s="19"/>
    </row>
    <row r="595">
      <c r="E595" s="19"/>
    </row>
    <row r="596">
      <c r="E596" s="19"/>
    </row>
    <row r="597">
      <c r="E597" s="19"/>
    </row>
    <row r="598">
      <c r="E598" s="19"/>
    </row>
    <row r="599">
      <c r="E599" s="19"/>
    </row>
    <row r="600">
      <c r="E600" s="19"/>
    </row>
    <row r="601">
      <c r="E601" s="19"/>
    </row>
    <row r="602">
      <c r="E602" s="19"/>
    </row>
    <row r="603">
      <c r="E603" s="19"/>
    </row>
    <row r="604">
      <c r="E604" s="19"/>
    </row>
    <row r="605">
      <c r="E605" s="19"/>
    </row>
    <row r="606">
      <c r="E606" s="19"/>
    </row>
    <row r="607">
      <c r="E607" s="19"/>
    </row>
    <row r="608">
      <c r="E608" s="19"/>
    </row>
    <row r="609">
      <c r="E609" s="19"/>
    </row>
    <row r="610">
      <c r="E610" s="19"/>
    </row>
    <row r="611">
      <c r="E611" s="19"/>
    </row>
    <row r="612">
      <c r="E612" s="19"/>
    </row>
    <row r="613">
      <c r="E613" s="19"/>
    </row>
    <row r="614">
      <c r="E614" s="19"/>
    </row>
    <row r="615">
      <c r="E615" s="19"/>
    </row>
    <row r="616">
      <c r="E616" s="19"/>
    </row>
    <row r="617">
      <c r="E617" s="19"/>
    </row>
    <row r="618">
      <c r="E618" s="19"/>
    </row>
    <row r="619">
      <c r="E619" s="19"/>
    </row>
    <row r="620">
      <c r="E620" s="19"/>
    </row>
    <row r="621">
      <c r="E621" s="19"/>
    </row>
    <row r="622">
      <c r="E622" s="19"/>
    </row>
    <row r="623">
      <c r="E623" s="19"/>
    </row>
    <row r="624">
      <c r="E624" s="19"/>
    </row>
    <row r="625">
      <c r="E625" s="19"/>
    </row>
    <row r="626">
      <c r="E626" s="19"/>
    </row>
    <row r="627">
      <c r="E627" s="19"/>
    </row>
    <row r="628">
      <c r="E628" s="19"/>
    </row>
    <row r="629">
      <c r="E629" s="19"/>
    </row>
    <row r="630">
      <c r="E630" s="19"/>
    </row>
    <row r="631">
      <c r="E631" s="19"/>
    </row>
    <row r="632">
      <c r="E632" s="19"/>
    </row>
    <row r="633">
      <c r="E633" s="19"/>
    </row>
    <row r="634">
      <c r="E634" s="19"/>
    </row>
    <row r="635">
      <c r="E635" s="19"/>
    </row>
    <row r="636">
      <c r="E636" s="19"/>
    </row>
    <row r="637">
      <c r="E637" s="19"/>
    </row>
    <row r="638">
      <c r="E638" s="19"/>
    </row>
    <row r="639">
      <c r="E639" s="19"/>
    </row>
    <row r="640">
      <c r="E640" s="19"/>
    </row>
    <row r="641">
      <c r="E641" s="19"/>
    </row>
    <row r="642">
      <c r="E642" s="19"/>
    </row>
    <row r="643">
      <c r="E643" s="19"/>
    </row>
    <row r="644">
      <c r="E644" s="19"/>
    </row>
    <row r="645">
      <c r="E645" s="19"/>
    </row>
    <row r="646">
      <c r="E646" s="19"/>
    </row>
    <row r="647">
      <c r="E647" s="19"/>
    </row>
    <row r="648">
      <c r="E648" s="19"/>
    </row>
    <row r="649">
      <c r="E649" s="19"/>
    </row>
    <row r="650">
      <c r="E650" s="19"/>
    </row>
    <row r="651">
      <c r="E651" s="19"/>
    </row>
    <row r="652">
      <c r="E652" s="19"/>
    </row>
    <row r="653">
      <c r="E653" s="19"/>
    </row>
    <row r="654">
      <c r="E654" s="19"/>
    </row>
    <row r="655">
      <c r="E655" s="19"/>
    </row>
    <row r="656">
      <c r="E656" s="19"/>
    </row>
    <row r="657">
      <c r="E657" s="19"/>
    </row>
    <row r="658">
      <c r="E658" s="19"/>
    </row>
    <row r="659">
      <c r="E659" s="19"/>
    </row>
    <row r="660">
      <c r="E660" s="19"/>
    </row>
    <row r="661">
      <c r="E661" s="19"/>
    </row>
    <row r="662">
      <c r="E662" s="19"/>
    </row>
    <row r="663">
      <c r="E663" s="19"/>
    </row>
    <row r="664">
      <c r="E664" s="19"/>
    </row>
    <row r="665">
      <c r="E665" s="19"/>
    </row>
    <row r="666">
      <c r="E666" s="19"/>
    </row>
    <row r="667">
      <c r="E667" s="19"/>
    </row>
    <row r="668">
      <c r="E668" s="19"/>
    </row>
    <row r="669">
      <c r="E669" s="19"/>
    </row>
    <row r="670">
      <c r="E670" s="19"/>
    </row>
    <row r="671">
      <c r="E671" s="19"/>
    </row>
    <row r="672">
      <c r="E672" s="19"/>
    </row>
    <row r="673">
      <c r="E673" s="19"/>
    </row>
    <row r="674">
      <c r="E674" s="19"/>
    </row>
    <row r="675">
      <c r="E675" s="19"/>
    </row>
    <row r="676">
      <c r="E676" s="19"/>
    </row>
    <row r="677">
      <c r="E677" s="19"/>
    </row>
    <row r="678">
      <c r="E678" s="19"/>
    </row>
    <row r="679">
      <c r="E679" s="19"/>
    </row>
    <row r="680">
      <c r="E680" s="19"/>
    </row>
    <row r="681">
      <c r="E681" s="19"/>
    </row>
    <row r="682">
      <c r="E682" s="19"/>
    </row>
    <row r="683">
      <c r="E683" s="19"/>
    </row>
    <row r="684">
      <c r="E684" s="19"/>
    </row>
    <row r="685">
      <c r="E685" s="19"/>
    </row>
    <row r="686">
      <c r="E686" s="19"/>
    </row>
    <row r="687">
      <c r="E687" s="19"/>
    </row>
    <row r="688">
      <c r="E688" s="19"/>
    </row>
    <row r="689">
      <c r="E689" s="19"/>
    </row>
    <row r="690">
      <c r="E690" s="19"/>
    </row>
    <row r="691">
      <c r="E691" s="19"/>
    </row>
    <row r="692">
      <c r="E692" s="19"/>
    </row>
    <row r="693">
      <c r="E693" s="19"/>
    </row>
    <row r="694">
      <c r="E694" s="19"/>
    </row>
    <row r="695">
      <c r="E695" s="19"/>
    </row>
    <row r="696">
      <c r="E696" s="19"/>
    </row>
    <row r="697">
      <c r="E697" s="19"/>
    </row>
    <row r="698">
      <c r="E698" s="19"/>
    </row>
    <row r="699">
      <c r="E699" s="19"/>
    </row>
    <row r="700">
      <c r="E700" s="19"/>
    </row>
    <row r="701">
      <c r="E701" s="19"/>
    </row>
    <row r="702">
      <c r="E702" s="19"/>
    </row>
    <row r="703">
      <c r="E703" s="19"/>
    </row>
    <row r="704">
      <c r="E704" s="19"/>
    </row>
    <row r="705">
      <c r="E705" s="19"/>
    </row>
    <row r="706">
      <c r="E706" s="19"/>
    </row>
    <row r="707">
      <c r="E707" s="19"/>
    </row>
    <row r="708">
      <c r="E708" s="19"/>
    </row>
    <row r="709">
      <c r="E709" s="19"/>
    </row>
    <row r="710">
      <c r="E710" s="19"/>
    </row>
    <row r="711">
      <c r="E711" s="19"/>
    </row>
    <row r="712">
      <c r="E712" s="19"/>
    </row>
    <row r="713">
      <c r="E713" s="19"/>
    </row>
    <row r="714">
      <c r="E714" s="19"/>
    </row>
    <row r="715">
      <c r="E715" s="19"/>
    </row>
    <row r="716">
      <c r="E716" s="19"/>
    </row>
    <row r="717">
      <c r="E717" s="19"/>
    </row>
    <row r="718">
      <c r="E718" s="19"/>
    </row>
    <row r="719">
      <c r="E719" s="19"/>
    </row>
    <row r="720">
      <c r="E720" s="19"/>
    </row>
    <row r="721">
      <c r="E721" s="19"/>
    </row>
    <row r="722">
      <c r="E722" s="19"/>
    </row>
    <row r="723">
      <c r="E723" s="19"/>
    </row>
    <row r="724">
      <c r="E724" s="19"/>
    </row>
    <row r="725">
      <c r="E725" s="19"/>
    </row>
    <row r="726">
      <c r="E726" s="19"/>
    </row>
    <row r="727">
      <c r="E727" s="19"/>
    </row>
    <row r="728">
      <c r="E728" s="19"/>
    </row>
    <row r="729">
      <c r="E729" s="19"/>
    </row>
    <row r="730">
      <c r="E730" s="19"/>
    </row>
    <row r="731">
      <c r="E731" s="19"/>
    </row>
    <row r="732">
      <c r="E732" s="19"/>
    </row>
    <row r="733">
      <c r="E733" s="19"/>
    </row>
    <row r="734">
      <c r="E734" s="19"/>
    </row>
    <row r="735">
      <c r="E735" s="19"/>
    </row>
    <row r="736">
      <c r="E736" s="19"/>
    </row>
    <row r="737">
      <c r="E737" s="19"/>
    </row>
    <row r="738">
      <c r="E738" s="19"/>
    </row>
    <row r="739">
      <c r="E739" s="19"/>
    </row>
    <row r="740">
      <c r="E740" s="19"/>
    </row>
    <row r="741">
      <c r="E741" s="19"/>
    </row>
    <row r="742">
      <c r="E742" s="19"/>
    </row>
    <row r="743">
      <c r="E743" s="19"/>
    </row>
    <row r="744">
      <c r="E744" s="19"/>
    </row>
    <row r="745">
      <c r="E745" s="19"/>
    </row>
    <row r="746">
      <c r="E746" s="19"/>
    </row>
    <row r="747">
      <c r="E747" s="19"/>
    </row>
    <row r="748">
      <c r="E748" s="19"/>
    </row>
    <row r="749">
      <c r="E749" s="19"/>
    </row>
    <row r="750">
      <c r="E750" s="19"/>
    </row>
    <row r="751">
      <c r="E751" s="19"/>
    </row>
    <row r="752">
      <c r="E752" s="19"/>
    </row>
    <row r="753">
      <c r="E753" s="19"/>
    </row>
    <row r="754">
      <c r="E754" s="19"/>
    </row>
    <row r="755">
      <c r="E755" s="19"/>
    </row>
    <row r="756">
      <c r="E756" s="19"/>
    </row>
    <row r="757">
      <c r="E757" s="19"/>
    </row>
    <row r="758">
      <c r="E758" s="19"/>
    </row>
    <row r="759">
      <c r="E759" s="19"/>
    </row>
    <row r="760">
      <c r="E760" s="19"/>
    </row>
    <row r="761">
      <c r="E761" s="19"/>
    </row>
    <row r="762">
      <c r="E762" s="19"/>
    </row>
    <row r="763">
      <c r="E763" s="19"/>
    </row>
    <row r="764">
      <c r="E764" s="19"/>
    </row>
    <row r="765">
      <c r="E765" s="19"/>
    </row>
    <row r="766">
      <c r="E766" s="19"/>
    </row>
    <row r="767">
      <c r="E767" s="19"/>
    </row>
    <row r="768">
      <c r="E768" s="19"/>
    </row>
    <row r="769">
      <c r="E769" s="19"/>
    </row>
    <row r="770">
      <c r="E770" s="19"/>
    </row>
    <row r="771">
      <c r="E771" s="19"/>
    </row>
    <row r="772">
      <c r="E772" s="19"/>
    </row>
    <row r="773">
      <c r="E773" s="19"/>
    </row>
    <row r="774">
      <c r="E774" s="19"/>
    </row>
    <row r="775">
      <c r="E775" s="19"/>
    </row>
    <row r="776">
      <c r="E776" s="19"/>
    </row>
    <row r="777">
      <c r="E777" s="19"/>
    </row>
    <row r="778">
      <c r="E778" s="19"/>
    </row>
    <row r="779">
      <c r="E779" s="19"/>
    </row>
    <row r="780">
      <c r="E780" s="19"/>
    </row>
    <row r="781">
      <c r="E781" s="19"/>
    </row>
    <row r="782">
      <c r="E782" s="19"/>
    </row>
    <row r="783">
      <c r="E783" s="19"/>
    </row>
    <row r="784">
      <c r="E784" s="19"/>
    </row>
    <row r="785">
      <c r="E785" s="19"/>
    </row>
    <row r="786">
      <c r="E786" s="19"/>
    </row>
    <row r="787">
      <c r="E787" s="19"/>
    </row>
    <row r="788">
      <c r="E788" s="19"/>
    </row>
    <row r="789">
      <c r="E789" s="19"/>
    </row>
    <row r="790">
      <c r="E790" s="19"/>
    </row>
    <row r="791">
      <c r="E791" s="19"/>
    </row>
    <row r="792">
      <c r="E792" s="19"/>
    </row>
    <row r="793">
      <c r="E793" s="19"/>
    </row>
    <row r="794">
      <c r="E794" s="19"/>
    </row>
    <row r="795">
      <c r="E795" s="19"/>
    </row>
    <row r="796">
      <c r="E796" s="19"/>
    </row>
    <row r="797">
      <c r="E797" s="19"/>
    </row>
    <row r="798">
      <c r="E798" s="19"/>
    </row>
    <row r="799">
      <c r="E799" s="19"/>
    </row>
    <row r="800">
      <c r="E800" s="19"/>
    </row>
    <row r="801">
      <c r="E801" s="19"/>
    </row>
    <row r="802">
      <c r="E802" s="19"/>
    </row>
    <row r="803">
      <c r="E803" s="19"/>
    </row>
    <row r="804">
      <c r="E804" s="19"/>
    </row>
    <row r="805">
      <c r="E805" s="19"/>
    </row>
    <row r="806">
      <c r="E806" s="19"/>
    </row>
    <row r="807">
      <c r="E807" s="19"/>
    </row>
    <row r="808">
      <c r="E808" s="19"/>
    </row>
    <row r="809">
      <c r="E809" s="19"/>
    </row>
    <row r="810">
      <c r="E810" s="19"/>
    </row>
    <row r="811">
      <c r="E811" s="19"/>
    </row>
    <row r="812">
      <c r="E812" s="19"/>
    </row>
    <row r="813">
      <c r="E813" s="19"/>
    </row>
    <row r="814">
      <c r="E814" s="19"/>
    </row>
    <row r="815">
      <c r="E815" s="19"/>
    </row>
    <row r="816">
      <c r="E816" s="19"/>
    </row>
    <row r="817">
      <c r="E817" s="19"/>
    </row>
    <row r="818">
      <c r="E818" s="19"/>
    </row>
    <row r="819">
      <c r="E819" s="19"/>
    </row>
    <row r="820">
      <c r="E820" s="19"/>
    </row>
    <row r="821">
      <c r="E821" s="19"/>
    </row>
    <row r="822">
      <c r="E822" s="19"/>
    </row>
    <row r="823">
      <c r="E823" s="19"/>
    </row>
    <row r="824">
      <c r="E824" s="19"/>
    </row>
    <row r="825">
      <c r="E825" s="19"/>
    </row>
    <row r="826">
      <c r="E826" s="19"/>
    </row>
    <row r="827">
      <c r="E827" s="19"/>
    </row>
    <row r="828">
      <c r="E828" s="19"/>
    </row>
    <row r="829">
      <c r="E829" s="19"/>
    </row>
    <row r="830">
      <c r="E830" s="19"/>
    </row>
    <row r="831">
      <c r="E831" s="19"/>
    </row>
    <row r="832">
      <c r="E832" s="19"/>
    </row>
    <row r="833">
      <c r="E833" s="19"/>
    </row>
    <row r="834">
      <c r="E834" s="19"/>
    </row>
    <row r="835">
      <c r="E835" s="19"/>
    </row>
    <row r="836">
      <c r="E836" s="19"/>
    </row>
    <row r="837">
      <c r="E837" s="19"/>
    </row>
    <row r="838">
      <c r="E838" s="19"/>
    </row>
    <row r="839">
      <c r="E839" s="19"/>
    </row>
    <row r="840">
      <c r="E840" s="19"/>
    </row>
    <row r="841">
      <c r="E841" s="19"/>
    </row>
    <row r="842">
      <c r="E842" s="19"/>
    </row>
    <row r="843">
      <c r="E843" s="19"/>
    </row>
    <row r="844">
      <c r="E844" s="19"/>
    </row>
    <row r="845">
      <c r="E845" s="19"/>
    </row>
    <row r="846">
      <c r="E846" s="19"/>
    </row>
    <row r="847">
      <c r="E847" s="19"/>
    </row>
    <row r="848">
      <c r="E848" s="19"/>
    </row>
    <row r="849">
      <c r="E849" s="19"/>
    </row>
    <row r="850">
      <c r="E850" s="19"/>
    </row>
    <row r="851">
      <c r="E851" s="19"/>
    </row>
    <row r="852">
      <c r="E852" s="19"/>
    </row>
    <row r="853">
      <c r="E853" s="19"/>
    </row>
    <row r="854">
      <c r="E854" s="19"/>
    </row>
    <row r="855">
      <c r="E855" s="19"/>
    </row>
    <row r="856">
      <c r="E856" s="19"/>
    </row>
    <row r="857">
      <c r="E857" s="19"/>
    </row>
    <row r="858">
      <c r="E858" s="19"/>
    </row>
    <row r="859">
      <c r="E859" s="19"/>
    </row>
    <row r="860">
      <c r="E860" s="19"/>
    </row>
    <row r="861">
      <c r="E861" s="19"/>
    </row>
    <row r="862">
      <c r="E862" s="19"/>
    </row>
    <row r="863">
      <c r="E863" s="19"/>
    </row>
    <row r="864">
      <c r="E864" s="19"/>
    </row>
    <row r="865">
      <c r="E865" s="19"/>
    </row>
    <row r="866">
      <c r="E866" s="19"/>
    </row>
    <row r="867">
      <c r="E867" s="19"/>
    </row>
    <row r="868">
      <c r="E868" s="19"/>
    </row>
    <row r="869">
      <c r="E869" s="19"/>
    </row>
    <row r="870">
      <c r="E870" s="19"/>
    </row>
    <row r="871">
      <c r="E871" s="19"/>
    </row>
    <row r="872">
      <c r="E872" s="19"/>
    </row>
    <row r="873">
      <c r="E873" s="19"/>
    </row>
    <row r="874">
      <c r="E874" s="19"/>
    </row>
    <row r="875">
      <c r="E875" s="19"/>
    </row>
    <row r="876">
      <c r="E876" s="19"/>
    </row>
    <row r="877">
      <c r="E877" s="19"/>
    </row>
    <row r="878">
      <c r="E878" s="19"/>
    </row>
    <row r="879">
      <c r="E879" s="19"/>
    </row>
    <row r="880">
      <c r="E880" s="19"/>
    </row>
    <row r="881">
      <c r="E881" s="19"/>
    </row>
    <row r="882">
      <c r="E882" s="19"/>
    </row>
    <row r="883">
      <c r="E883" s="19"/>
    </row>
    <row r="884">
      <c r="E884" s="19"/>
    </row>
    <row r="885">
      <c r="E885" s="19"/>
    </row>
    <row r="886">
      <c r="E886" s="19"/>
    </row>
    <row r="887">
      <c r="E887" s="19"/>
    </row>
    <row r="888">
      <c r="E888" s="19"/>
    </row>
    <row r="889">
      <c r="E889" s="19"/>
    </row>
    <row r="890">
      <c r="E890" s="19"/>
    </row>
    <row r="891">
      <c r="E891" s="19"/>
    </row>
    <row r="892">
      <c r="E892" s="19"/>
    </row>
    <row r="893">
      <c r="E893" s="19"/>
    </row>
    <row r="894">
      <c r="E894" s="19"/>
    </row>
    <row r="895">
      <c r="E895" s="19"/>
    </row>
    <row r="896">
      <c r="E896" s="19"/>
    </row>
    <row r="897">
      <c r="E897" s="19"/>
    </row>
    <row r="898">
      <c r="E898" s="19"/>
    </row>
    <row r="899">
      <c r="E899" s="19"/>
    </row>
    <row r="900">
      <c r="E900" s="19"/>
    </row>
    <row r="901">
      <c r="E901" s="19"/>
    </row>
    <row r="902">
      <c r="E902" s="19"/>
    </row>
    <row r="903">
      <c r="E903" s="19"/>
    </row>
    <row r="904">
      <c r="E904" s="19"/>
    </row>
    <row r="905">
      <c r="E905" s="19"/>
    </row>
    <row r="906">
      <c r="E906" s="19"/>
    </row>
    <row r="907">
      <c r="E907" s="19"/>
    </row>
    <row r="908">
      <c r="E908" s="19"/>
    </row>
    <row r="909">
      <c r="E909" s="19"/>
    </row>
    <row r="910">
      <c r="E910" s="19"/>
    </row>
    <row r="911">
      <c r="E911" s="19"/>
    </row>
    <row r="912">
      <c r="E912" s="19"/>
    </row>
    <row r="913">
      <c r="E913" s="19"/>
    </row>
    <row r="914">
      <c r="E914" s="19"/>
    </row>
    <row r="915">
      <c r="E915" s="19"/>
    </row>
    <row r="916">
      <c r="E916" s="19"/>
    </row>
    <row r="917">
      <c r="E917" s="19"/>
    </row>
    <row r="918">
      <c r="E918" s="19"/>
    </row>
    <row r="919">
      <c r="E919" s="19"/>
    </row>
    <row r="920">
      <c r="E920" s="19"/>
    </row>
    <row r="921">
      <c r="E921" s="19"/>
    </row>
    <row r="922">
      <c r="E922" s="19"/>
    </row>
    <row r="923">
      <c r="E923" s="19"/>
    </row>
    <row r="924">
      <c r="E924" s="19"/>
    </row>
    <row r="925">
      <c r="E925" s="19"/>
    </row>
    <row r="926">
      <c r="E926" s="19"/>
    </row>
    <row r="927">
      <c r="E927" s="19"/>
    </row>
    <row r="928">
      <c r="E928" s="19"/>
    </row>
    <row r="929">
      <c r="E929" s="19"/>
    </row>
    <row r="930">
      <c r="E930" s="19"/>
    </row>
    <row r="931">
      <c r="E931" s="19"/>
    </row>
    <row r="932">
      <c r="E932" s="19"/>
    </row>
    <row r="933">
      <c r="E933" s="19"/>
    </row>
    <row r="934">
      <c r="E934" s="19"/>
    </row>
    <row r="935">
      <c r="E935" s="19"/>
    </row>
    <row r="936">
      <c r="E936" s="19"/>
    </row>
    <row r="937">
      <c r="E937" s="19"/>
    </row>
    <row r="938">
      <c r="E938" s="19"/>
    </row>
    <row r="939">
      <c r="E939" s="19"/>
    </row>
    <row r="940">
      <c r="E940" s="19"/>
    </row>
    <row r="941">
      <c r="E941" s="19"/>
    </row>
    <row r="942">
      <c r="E942" s="19"/>
    </row>
    <row r="943">
      <c r="E943" s="19"/>
    </row>
    <row r="944">
      <c r="E944" s="19"/>
    </row>
    <row r="945">
      <c r="E945" s="19"/>
    </row>
    <row r="946">
      <c r="E946" s="19"/>
    </row>
    <row r="947">
      <c r="E947" s="19"/>
    </row>
    <row r="948">
      <c r="E948" s="19"/>
    </row>
    <row r="949">
      <c r="E949" s="19"/>
    </row>
    <row r="950">
      <c r="E950" s="19"/>
    </row>
    <row r="951">
      <c r="E951" s="19"/>
    </row>
    <row r="952">
      <c r="E952" s="19"/>
    </row>
    <row r="953">
      <c r="E953" s="19"/>
    </row>
    <row r="954">
      <c r="E954" s="19"/>
    </row>
    <row r="955">
      <c r="E955" s="19"/>
    </row>
    <row r="956">
      <c r="E956" s="19"/>
    </row>
    <row r="957">
      <c r="E957" s="19"/>
    </row>
    <row r="958">
      <c r="E958" s="19"/>
    </row>
    <row r="959">
      <c r="E959" s="19"/>
    </row>
    <row r="960">
      <c r="E960" s="19"/>
    </row>
    <row r="961">
      <c r="E961" s="19"/>
    </row>
    <row r="962">
      <c r="E962" s="19"/>
    </row>
    <row r="963">
      <c r="E963" s="19"/>
    </row>
    <row r="964">
      <c r="E964" s="19"/>
    </row>
    <row r="965">
      <c r="E965" s="19"/>
    </row>
    <row r="966">
      <c r="E966" s="19"/>
    </row>
    <row r="967">
      <c r="E967" s="19"/>
    </row>
    <row r="968">
      <c r="E968" s="19"/>
    </row>
    <row r="969">
      <c r="E969" s="19"/>
    </row>
    <row r="970">
      <c r="E970" s="19"/>
    </row>
    <row r="971">
      <c r="E971" s="19"/>
    </row>
    <row r="972">
      <c r="E972" s="19"/>
    </row>
    <row r="973">
      <c r="E973" s="19"/>
    </row>
    <row r="974">
      <c r="E974" s="19"/>
    </row>
    <row r="975">
      <c r="E975" s="19"/>
    </row>
    <row r="976">
      <c r="E976" s="19"/>
    </row>
    <row r="977">
      <c r="E977" s="19"/>
    </row>
    <row r="978">
      <c r="E978" s="19"/>
    </row>
    <row r="979">
      <c r="E979" s="19"/>
    </row>
    <row r="980">
      <c r="E980" s="19"/>
    </row>
    <row r="981">
      <c r="E981" s="19"/>
    </row>
    <row r="982">
      <c r="E982" s="19"/>
    </row>
    <row r="983">
      <c r="E983" s="19"/>
    </row>
    <row r="984">
      <c r="E984" s="19"/>
    </row>
    <row r="985">
      <c r="E985" s="19"/>
    </row>
    <row r="986">
      <c r="E986" s="19"/>
    </row>
    <row r="987">
      <c r="E987" s="19"/>
    </row>
    <row r="988">
      <c r="E988" s="19"/>
    </row>
    <row r="989">
      <c r="E989" s="19"/>
    </row>
    <row r="990">
      <c r="E990" s="19"/>
    </row>
    <row r="991">
      <c r="E991" s="19"/>
    </row>
    <row r="992">
      <c r="E992" s="19"/>
    </row>
    <row r="993">
      <c r="E993" s="19"/>
    </row>
    <row r="994">
      <c r="E994" s="19"/>
    </row>
    <row r="995">
      <c r="E995" s="19"/>
    </row>
    <row r="996">
      <c r="E996" s="19"/>
    </row>
    <row r="997">
      <c r="E997" s="19"/>
    </row>
    <row r="998">
      <c r="E998" s="19"/>
    </row>
    <row r="999">
      <c r="E999" s="19"/>
    </row>
    <row r="1000">
      <c r="E1000" s="19"/>
    </row>
  </sheetData>
  <dataValidations>
    <dataValidation type="custom" allowBlank="1" showDropDown="1" sqref="O3:O7">
      <formula1>AND(ISNUMBER(O3),(NOT(OR(NOT(ISERROR(DATEVALUE(O3))), AND(ISNUMBER(O3), LEFT(CELL("format", O3))="D")))))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16.75"/>
    <col customWidth="1" min="4" max="4" width="16.88"/>
    <col customWidth="1" min="5" max="5" width="16.38"/>
    <col customWidth="1" min="6" max="6" width="17.88"/>
  </cols>
  <sheetData>
    <row r="1">
      <c r="A1" s="20" t="s">
        <v>11</v>
      </c>
      <c r="B1" s="21">
        <v>1.1E7</v>
      </c>
      <c r="C1" s="20"/>
      <c r="D1" s="20"/>
      <c r="E1" s="20"/>
      <c r="F1" s="22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 t="s">
        <v>12</v>
      </c>
      <c r="B2" s="23">
        <v>0.071</v>
      </c>
      <c r="C2" s="20"/>
      <c r="D2" s="20"/>
      <c r="E2" s="20"/>
      <c r="F2" s="22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 t="s">
        <v>13</v>
      </c>
      <c r="B3" s="24">
        <v>25.0</v>
      </c>
      <c r="C3" s="20" t="s">
        <v>14</v>
      </c>
      <c r="D3" s="20"/>
      <c r="E3" s="20"/>
      <c r="F3" s="22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0"/>
      <c r="D4" s="20"/>
      <c r="E4" s="20"/>
      <c r="F4" s="22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 t="s">
        <v>15</v>
      </c>
      <c r="B5" s="25">
        <f>-PMT($B$2/12,B3*12,B1)</f>
        <v>78448.83766</v>
      </c>
      <c r="C5" s="20"/>
      <c r="D5" s="20"/>
      <c r="E5" s="20"/>
      <c r="F5" s="22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 t="s">
        <v>16</v>
      </c>
      <c r="B6" s="26">
        <f>B1</f>
        <v>11000000</v>
      </c>
      <c r="C6" s="20"/>
      <c r="D6" s="20"/>
      <c r="E6" s="20"/>
      <c r="F6" s="22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 t="s">
        <v>17</v>
      </c>
      <c r="B7" s="26">
        <f>-CUMIPMT($B$2/12,B3*12,B1,1,B3*12,1)</f>
        <v>12396223.64</v>
      </c>
      <c r="C7" s="20"/>
      <c r="D7" s="20"/>
      <c r="E7" s="20"/>
      <c r="F7" s="22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 t="s">
        <v>18</v>
      </c>
      <c r="B8" s="26">
        <f>sum(B6:B7)</f>
        <v>23396223.64</v>
      </c>
      <c r="C8" s="20"/>
      <c r="D8" s="20"/>
      <c r="E8" s="20"/>
      <c r="F8" s="22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2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7" t="s">
        <v>19</v>
      </c>
      <c r="B10" s="20"/>
      <c r="C10" s="20"/>
      <c r="D10" s="20"/>
      <c r="E10" s="20"/>
      <c r="F10" s="22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 t="s">
        <v>20</v>
      </c>
      <c r="B11" s="28">
        <v>0.0</v>
      </c>
      <c r="C11" s="20"/>
      <c r="D11" s="20"/>
      <c r="E11" s="20"/>
      <c r="F11" s="22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 t="s">
        <v>21</v>
      </c>
      <c r="B12" s="29">
        <v>0.05</v>
      </c>
      <c r="C12" s="20"/>
      <c r="D12" s="20"/>
      <c r="E12" s="20"/>
      <c r="F12" s="22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 t="s">
        <v>16</v>
      </c>
      <c r="B13" s="26">
        <f>B1</f>
        <v>11000000</v>
      </c>
      <c r="C13" s="20"/>
      <c r="D13" s="20"/>
      <c r="E13" s="20"/>
      <c r="F13" s="22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 t="s">
        <v>17</v>
      </c>
      <c r="B14" s="26">
        <f>sumif(D21:D380,"&gt;0",D21:D380)</f>
        <v>3324168.587</v>
      </c>
      <c r="C14" s="20"/>
      <c r="D14" s="20"/>
      <c r="E14" s="20"/>
      <c r="F14" s="22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30" t="s">
        <v>18</v>
      </c>
      <c r="B15" s="31">
        <f>sum(B13:B14)</f>
        <v>14324168.59</v>
      </c>
      <c r="C15" s="20"/>
      <c r="D15" s="20"/>
      <c r="E15" s="20"/>
      <c r="F15" s="22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7" t="s">
        <v>22</v>
      </c>
      <c r="B16" s="32">
        <f>if((B8-B15)&lt;0,0,B8-B15)</f>
        <v>9072055.053</v>
      </c>
      <c r="C16" s="33"/>
      <c r="D16" s="20"/>
      <c r="E16" s="20"/>
      <c r="F16" s="22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7" t="s">
        <v>23</v>
      </c>
      <c r="B17" s="34">
        <f>countif(E21:E380,"&gt;1")/12</f>
        <v>8.416666667</v>
      </c>
      <c r="C17" s="35" t="s">
        <v>14</v>
      </c>
      <c r="D17" s="20"/>
      <c r="E17" s="20"/>
      <c r="F17" s="22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33"/>
      <c r="D18" s="20"/>
      <c r="E18" s="20"/>
      <c r="F18" s="22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33"/>
      <c r="D19" s="20"/>
      <c r="E19" s="20"/>
      <c r="F19" s="22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2.5" customHeight="1">
      <c r="A20" s="4" t="s">
        <v>24</v>
      </c>
      <c r="B20" s="4" t="s">
        <v>25</v>
      </c>
      <c r="C20" s="4" t="s">
        <v>26</v>
      </c>
      <c r="D20" s="4" t="s">
        <v>27</v>
      </c>
      <c r="E20" s="4" t="s">
        <v>28</v>
      </c>
      <c r="F20" s="36" t="s">
        <v>29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2.5" customHeight="1">
      <c r="A21" s="37">
        <v>45352.0</v>
      </c>
      <c r="B21" s="38">
        <v>87500.0</v>
      </c>
      <c r="C21" s="39">
        <f>B21-D21</f>
        <v>47320</v>
      </c>
      <c r="D21" s="40">
        <v>40180.0</v>
      </c>
      <c r="E21" s="41">
        <f>B1-C21</f>
        <v>10952680</v>
      </c>
      <c r="F21" s="42">
        <v>12500.0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2.5" customHeight="1">
      <c r="A22" s="37">
        <v>45383.0</v>
      </c>
      <c r="B22" s="39">
        <f>if(E21&lt;=B21,E21, IF(ROUND(E21,1)=0,0,B21))</f>
        <v>87500</v>
      </c>
      <c r="C22" s="39">
        <f t="shared" ref="C22:C362" si="1">IF(ROUND(E21,1)=0,0,B22-D22)</f>
        <v>60005</v>
      </c>
      <c r="D22" s="40">
        <v>27495.0</v>
      </c>
      <c r="E22" s="41">
        <f t="shared" ref="E22:E362" si="2">if(E21&gt;0,E21-SUM(F32,C22),0)</f>
        <v>10880175</v>
      </c>
      <c r="F22" s="42">
        <v>12500.0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2.5" customHeight="1">
      <c r="A23" s="37">
        <v>45413.0</v>
      </c>
      <c r="B23" s="39">
        <f t="shared" ref="B23:B40" si="3">IF(ROUND(E22,1)=0,0,B22)</f>
        <v>87500</v>
      </c>
      <c r="C23" s="39">
        <f t="shared" si="1"/>
        <v>59033</v>
      </c>
      <c r="D23" s="40">
        <v>28467.0</v>
      </c>
      <c r="E23" s="41">
        <f t="shared" si="2"/>
        <v>10808642</v>
      </c>
      <c r="F23" s="42">
        <v>12500.0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2.5" customHeight="1">
      <c r="A24" s="37">
        <v>45444.0</v>
      </c>
      <c r="B24" s="39">
        <f t="shared" si="3"/>
        <v>87500</v>
      </c>
      <c r="C24" s="39">
        <f t="shared" si="1"/>
        <v>61094</v>
      </c>
      <c r="D24" s="40">
        <v>26406.0</v>
      </c>
      <c r="E24" s="41">
        <f t="shared" si="2"/>
        <v>10735048</v>
      </c>
      <c r="F24" s="42">
        <v>175000.0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2.5" customHeight="1">
      <c r="A25" s="37">
        <v>45474.0</v>
      </c>
      <c r="B25" s="39">
        <f t="shared" si="3"/>
        <v>87500</v>
      </c>
      <c r="C25" s="39">
        <f t="shared" si="1"/>
        <v>61126</v>
      </c>
      <c r="D25" s="40">
        <v>26374.0</v>
      </c>
      <c r="E25" s="41">
        <f t="shared" si="2"/>
        <v>10661422</v>
      </c>
      <c r="F25" s="43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2.5" customHeight="1">
      <c r="A26" s="37">
        <v>45505.0</v>
      </c>
      <c r="B26" s="39">
        <f t="shared" si="3"/>
        <v>87500</v>
      </c>
      <c r="C26" s="39">
        <f t="shared" si="1"/>
        <v>59987</v>
      </c>
      <c r="D26" s="40">
        <v>27513.0</v>
      </c>
      <c r="E26" s="41">
        <f t="shared" si="2"/>
        <v>10588935</v>
      </c>
      <c r="F26" s="42">
        <v>12500.0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2.5" customHeight="1">
      <c r="A27" s="37">
        <v>45536.0</v>
      </c>
      <c r="B27" s="39">
        <f t="shared" si="3"/>
        <v>87500</v>
      </c>
      <c r="C27" s="39">
        <f t="shared" si="1"/>
        <v>50440</v>
      </c>
      <c r="D27" s="40">
        <v>37060.0</v>
      </c>
      <c r="E27" s="41">
        <f t="shared" si="2"/>
        <v>10525995</v>
      </c>
      <c r="F27" s="42">
        <v>12500.0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2.5" customHeight="1">
      <c r="A28" s="37">
        <v>45566.0</v>
      </c>
      <c r="B28" s="39">
        <f t="shared" si="3"/>
        <v>87500</v>
      </c>
      <c r="C28" s="39">
        <f t="shared" si="1"/>
        <v>49648</v>
      </c>
      <c r="D28" s="40">
        <v>37852.0</v>
      </c>
      <c r="E28" s="41">
        <f t="shared" si="2"/>
        <v>10463847</v>
      </c>
      <c r="F28" s="43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2.5" customHeight="1">
      <c r="A29" s="37">
        <v>45597.0</v>
      </c>
      <c r="B29" s="39">
        <f t="shared" si="3"/>
        <v>87500</v>
      </c>
      <c r="C29" s="39">
        <f t="shared" si="1"/>
        <v>51293</v>
      </c>
      <c r="D29" s="40">
        <v>36207.0</v>
      </c>
      <c r="E29" s="41">
        <f t="shared" si="2"/>
        <v>10400054</v>
      </c>
      <c r="F29" s="42">
        <v>12500.0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2.5" customHeight="1">
      <c r="A30" s="37">
        <v>45627.0</v>
      </c>
      <c r="B30" s="39">
        <f t="shared" si="3"/>
        <v>87500</v>
      </c>
      <c r="C30" s="39">
        <f t="shared" si="1"/>
        <v>50541</v>
      </c>
      <c r="D30" s="40">
        <v>36959.0</v>
      </c>
      <c r="E30" s="41">
        <f t="shared" si="2"/>
        <v>10337013</v>
      </c>
      <c r="F30" s="42">
        <v>12500.0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2.5" customHeight="1">
      <c r="A31" s="37">
        <v>45658.0</v>
      </c>
      <c r="B31" s="39">
        <f t="shared" si="3"/>
        <v>87500</v>
      </c>
      <c r="C31" s="39">
        <f t="shared" si="1"/>
        <v>44660</v>
      </c>
      <c r="D31" s="40">
        <v>42840.0</v>
      </c>
      <c r="E31" s="41">
        <f t="shared" si="2"/>
        <v>10279853</v>
      </c>
      <c r="F31" s="42">
        <v>12500.0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2.5" customHeight="1">
      <c r="A32" s="37">
        <v>45689.0</v>
      </c>
      <c r="B32" s="39">
        <f t="shared" si="3"/>
        <v>87500</v>
      </c>
      <c r="C32" s="39">
        <f t="shared" si="1"/>
        <v>47778</v>
      </c>
      <c r="D32" s="40">
        <v>39722.0</v>
      </c>
      <c r="E32" s="41">
        <f t="shared" si="2"/>
        <v>10219575</v>
      </c>
      <c r="F32" s="42">
        <v>12500.0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2.5" customHeight="1">
      <c r="A33" s="37">
        <v>45717.0</v>
      </c>
      <c r="B33" s="39">
        <f t="shared" si="3"/>
        <v>87500</v>
      </c>
      <c r="C33" s="39">
        <f t="shared" si="1"/>
        <v>44612</v>
      </c>
      <c r="D33" s="40">
        <v>42888.0</v>
      </c>
      <c r="E33" s="41">
        <f t="shared" si="2"/>
        <v>10162463</v>
      </c>
      <c r="F33" s="42">
        <v>12500.0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2.5" customHeight="1">
      <c r="A34" s="37">
        <v>45748.0</v>
      </c>
      <c r="B34" s="39">
        <f t="shared" si="3"/>
        <v>87500</v>
      </c>
      <c r="C34" s="39">
        <f t="shared" si="1"/>
        <v>47049</v>
      </c>
      <c r="D34" s="40">
        <v>40451.0</v>
      </c>
      <c r="E34" s="41">
        <f t="shared" si="2"/>
        <v>10102914</v>
      </c>
      <c r="F34" s="42">
        <v>12500.0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2.5" customHeight="1">
      <c r="A35" s="37">
        <v>45778.0</v>
      </c>
      <c r="B35" s="39">
        <f t="shared" si="3"/>
        <v>87500</v>
      </c>
      <c r="C35" s="39">
        <f t="shared" si="1"/>
        <v>46716</v>
      </c>
      <c r="D35" s="40">
        <v>40784.0</v>
      </c>
      <c r="E35" s="41">
        <f t="shared" si="2"/>
        <v>10043698</v>
      </c>
      <c r="F35" s="42">
        <v>12500.0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2.5" customHeight="1">
      <c r="A36" s="37">
        <v>45809.0</v>
      </c>
      <c r="B36" s="39">
        <f t="shared" si="3"/>
        <v>87500</v>
      </c>
      <c r="C36" s="39">
        <f t="shared" si="1"/>
        <v>49737</v>
      </c>
      <c r="D36" s="40">
        <v>37763.0</v>
      </c>
      <c r="E36" s="41">
        <f t="shared" si="2"/>
        <v>9981461</v>
      </c>
      <c r="F36" s="42">
        <v>12500.0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2.5" customHeight="1">
      <c r="A37" s="37">
        <v>45839.0</v>
      </c>
      <c r="B37" s="39">
        <f t="shared" si="3"/>
        <v>87500</v>
      </c>
      <c r="C37" s="39">
        <f t="shared" si="1"/>
        <v>50072</v>
      </c>
      <c r="D37" s="40">
        <v>37428.0</v>
      </c>
      <c r="E37" s="41">
        <f t="shared" si="2"/>
        <v>9918889</v>
      </c>
      <c r="F37" s="42">
        <v>12500.0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2.5" customHeight="1">
      <c r="A38" s="37">
        <v>45870.0</v>
      </c>
      <c r="B38" s="39">
        <f t="shared" si="3"/>
        <v>87500</v>
      </c>
      <c r="C38" s="39">
        <f t="shared" si="1"/>
        <v>50468</v>
      </c>
      <c r="D38" s="40">
        <v>37032.0</v>
      </c>
      <c r="E38" s="41">
        <f t="shared" si="2"/>
        <v>9855921</v>
      </c>
      <c r="F38" s="42">
        <v>12500.0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2.5" customHeight="1">
      <c r="A39" s="37">
        <v>45901.0</v>
      </c>
      <c r="B39" s="39">
        <f t="shared" si="3"/>
        <v>87500</v>
      </c>
      <c r="C39" s="39">
        <f t="shared" si="1"/>
        <v>52036</v>
      </c>
      <c r="D39" s="40">
        <v>35464.0</v>
      </c>
      <c r="E39" s="41">
        <f t="shared" si="2"/>
        <v>9791385</v>
      </c>
      <c r="F39" s="42">
        <v>12500.0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2.5" customHeight="1">
      <c r="A40" s="37">
        <v>45931.0</v>
      </c>
      <c r="B40" s="39">
        <f t="shared" si="3"/>
        <v>87500</v>
      </c>
      <c r="C40" s="39">
        <f t="shared" si="1"/>
        <v>51259</v>
      </c>
      <c r="D40" s="40">
        <v>36241.0</v>
      </c>
      <c r="E40" s="41">
        <f t="shared" si="2"/>
        <v>9727626</v>
      </c>
      <c r="F40" s="42">
        <v>12500.0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2.5" customHeight="1">
      <c r="A41" s="37">
        <v>45962.0</v>
      </c>
      <c r="B41" s="39">
        <f t="shared" ref="B41:B44" si="4">if(E40&lt;B40,E40,IF(ROUND(E40,1)=0,0,B40))</f>
        <v>87500</v>
      </c>
      <c r="C41" s="39">
        <f t="shared" si="1"/>
        <v>52816</v>
      </c>
      <c r="D41" s="40">
        <v>34684.0</v>
      </c>
      <c r="E41" s="41">
        <f t="shared" si="2"/>
        <v>9662310</v>
      </c>
      <c r="F41" s="42">
        <v>12500.0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2.5" customHeight="1">
      <c r="A42" s="37">
        <v>45992.0</v>
      </c>
      <c r="B42" s="39">
        <f t="shared" si="4"/>
        <v>87500</v>
      </c>
      <c r="C42" s="39">
        <f t="shared" si="1"/>
        <v>52727</v>
      </c>
      <c r="D42" s="40">
        <v>34773.0</v>
      </c>
      <c r="E42" s="41">
        <f t="shared" si="2"/>
        <v>9597083</v>
      </c>
      <c r="F42" s="42">
        <v>12500.0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2.5" customHeight="1">
      <c r="A43" s="37">
        <v>46023.0</v>
      </c>
      <c r="B43" s="39">
        <f t="shared" si="4"/>
        <v>87500</v>
      </c>
      <c r="C43" s="39">
        <f t="shared" si="1"/>
        <v>53663</v>
      </c>
      <c r="D43" s="40">
        <v>33837.0</v>
      </c>
      <c r="E43" s="41">
        <f t="shared" si="2"/>
        <v>9530920</v>
      </c>
      <c r="F43" s="42">
        <v>12500.0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2.5" customHeight="1">
      <c r="A44" s="37">
        <v>46054.0</v>
      </c>
      <c r="B44" s="39">
        <f t="shared" si="4"/>
        <v>87500</v>
      </c>
      <c r="C44" s="39">
        <f t="shared" si="1"/>
        <v>57292</v>
      </c>
      <c r="D44" s="40">
        <v>30208.0</v>
      </c>
      <c r="E44" s="41">
        <f t="shared" si="2"/>
        <v>9461128</v>
      </c>
      <c r="F44" s="42">
        <v>12500.0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2.5" customHeight="1">
      <c r="A45" s="44">
        <v>46082.0</v>
      </c>
      <c r="B45" s="45">
        <f>if(E44&lt;=B44,E44, IF(ROUND(E44,1)=0,0,B44)*(1+$B$12))</f>
        <v>91875</v>
      </c>
      <c r="C45" s="45">
        <f t="shared" si="1"/>
        <v>35896.65933</v>
      </c>
      <c r="D45" s="45">
        <f t="shared" ref="D45:D362" si="5">IF(E44&gt;0,E44*$B$2/12,0)</f>
        <v>55978.34067</v>
      </c>
      <c r="E45" s="46">
        <f t="shared" si="2"/>
        <v>9377731.341</v>
      </c>
      <c r="F45" s="47">
        <v>12500.0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2.5" customHeight="1">
      <c r="A46" s="44">
        <v>46113.0</v>
      </c>
      <c r="B46" s="45">
        <f t="shared" ref="B46:B56" si="6">if(E45&lt;B45,E45,IF(ROUND(E45,1)=0,0,B45))</f>
        <v>91875</v>
      </c>
      <c r="C46" s="45">
        <f t="shared" si="1"/>
        <v>36390.08957</v>
      </c>
      <c r="D46" s="45">
        <f t="shared" si="5"/>
        <v>55484.91043</v>
      </c>
      <c r="E46" s="46">
        <f t="shared" si="2"/>
        <v>9293841.251</v>
      </c>
      <c r="F46" s="47">
        <v>12500.0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2.5" customHeight="1">
      <c r="A47" s="44">
        <v>46143.0</v>
      </c>
      <c r="B47" s="45">
        <f t="shared" si="6"/>
        <v>91875</v>
      </c>
      <c r="C47" s="45">
        <f t="shared" si="1"/>
        <v>36886.43926</v>
      </c>
      <c r="D47" s="45">
        <f t="shared" si="5"/>
        <v>54988.56074</v>
      </c>
      <c r="E47" s="46">
        <f t="shared" si="2"/>
        <v>9209454.812</v>
      </c>
      <c r="F47" s="47">
        <v>12500.0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2.5" customHeight="1">
      <c r="A48" s="44">
        <v>46174.0</v>
      </c>
      <c r="B48" s="45">
        <f t="shared" si="6"/>
        <v>91875</v>
      </c>
      <c r="C48" s="45">
        <f t="shared" si="1"/>
        <v>37385.7257</v>
      </c>
      <c r="D48" s="45">
        <f t="shared" si="5"/>
        <v>54489.2743</v>
      </c>
      <c r="E48" s="46">
        <f t="shared" si="2"/>
        <v>9124569.086</v>
      </c>
      <c r="F48" s="47">
        <v>12500.0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2.5" customHeight="1">
      <c r="A49" s="44">
        <v>46204.0</v>
      </c>
      <c r="B49" s="45">
        <f t="shared" si="6"/>
        <v>91875</v>
      </c>
      <c r="C49" s="45">
        <f t="shared" si="1"/>
        <v>37887.96624</v>
      </c>
      <c r="D49" s="45">
        <f t="shared" si="5"/>
        <v>53987.03376</v>
      </c>
      <c r="E49" s="46">
        <f t="shared" si="2"/>
        <v>9039181.12</v>
      </c>
      <c r="F49" s="47">
        <v>12500.0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2.5" customHeight="1">
      <c r="A50" s="44">
        <v>46235.0</v>
      </c>
      <c r="B50" s="45">
        <f t="shared" si="6"/>
        <v>91875</v>
      </c>
      <c r="C50" s="45">
        <f t="shared" si="1"/>
        <v>38393.17837</v>
      </c>
      <c r="D50" s="45">
        <f t="shared" si="5"/>
        <v>53481.82163</v>
      </c>
      <c r="E50" s="46">
        <f t="shared" si="2"/>
        <v>8953287.942</v>
      </c>
      <c r="F50" s="47">
        <v>12500.0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2.5" customHeight="1">
      <c r="A51" s="44">
        <v>46266.0</v>
      </c>
      <c r="B51" s="45">
        <f t="shared" si="6"/>
        <v>91875</v>
      </c>
      <c r="C51" s="45">
        <f t="shared" si="1"/>
        <v>38901.37968</v>
      </c>
      <c r="D51" s="45">
        <f t="shared" si="5"/>
        <v>52973.62032</v>
      </c>
      <c r="E51" s="46">
        <f t="shared" si="2"/>
        <v>8866886.562</v>
      </c>
      <c r="F51" s="47">
        <v>12500.0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2.5" customHeight="1">
      <c r="A52" s="44">
        <v>46296.0</v>
      </c>
      <c r="B52" s="45">
        <f t="shared" si="6"/>
        <v>91875</v>
      </c>
      <c r="C52" s="45">
        <f t="shared" si="1"/>
        <v>39412.58784</v>
      </c>
      <c r="D52" s="45">
        <f t="shared" si="5"/>
        <v>52462.41216</v>
      </c>
      <c r="E52" s="46">
        <f t="shared" si="2"/>
        <v>8779973.974</v>
      </c>
      <c r="F52" s="47">
        <v>12500.0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2.5" customHeight="1">
      <c r="A53" s="44">
        <v>46327.0</v>
      </c>
      <c r="B53" s="45">
        <f t="shared" si="6"/>
        <v>91875</v>
      </c>
      <c r="C53" s="45">
        <f t="shared" si="1"/>
        <v>39926.82065</v>
      </c>
      <c r="D53" s="45">
        <f t="shared" si="5"/>
        <v>51948.17935</v>
      </c>
      <c r="E53" s="46">
        <f t="shared" si="2"/>
        <v>8692547.153</v>
      </c>
      <c r="F53" s="47">
        <v>12500.0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2.5" customHeight="1">
      <c r="A54" s="44">
        <v>46357.0</v>
      </c>
      <c r="B54" s="45">
        <f t="shared" si="6"/>
        <v>91875</v>
      </c>
      <c r="C54" s="45">
        <f t="shared" si="1"/>
        <v>40444.09601</v>
      </c>
      <c r="D54" s="45">
        <f t="shared" si="5"/>
        <v>51430.90399</v>
      </c>
      <c r="E54" s="46">
        <f t="shared" si="2"/>
        <v>8604603.057</v>
      </c>
      <c r="F54" s="47">
        <v>12500.0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2.5" customHeight="1">
      <c r="A55" s="44">
        <v>46388.0</v>
      </c>
      <c r="B55" s="45">
        <f t="shared" si="6"/>
        <v>91875</v>
      </c>
      <c r="C55" s="45">
        <f t="shared" si="1"/>
        <v>40964.43191</v>
      </c>
      <c r="D55" s="45">
        <f t="shared" si="5"/>
        <v>50910.56809</v>
      </c>
      <c r="E55" s="46">
        <f t="shared" si="2"/>
        <v>8516138.625</v>
      </c>
      <c r="F55" s="47">
        <v>47500.0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2.5" customHeight="1">
      <c r="A56" s="44">
        <v>46419.0</v>
      </c>
      <c r="B56" s="45">
        <f t="shared" si="6"/>
        <v>91875</v>
      </c>
      <c r="C56" s="45">
        <f t="shared" si="1"/>
        <v>41487.84647</v>
      </c>
      <c r="D56" s="45">
        <f t="shared" si="5"/>
        <v>50387.15353</v>
      </c>
      <c r="E56" s="46">
        <f t="shared" si="2"/>
        <v>8427150.779</v>
      </c>
      <c r="F56" s="47">
        <v>47500.0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2.5" customHeight="1">
      <c r="A57" s="44">
        <v>46447.0</v>
      </c>
      <c r="B57" s="45">
        <f>if(E56&lt;=B56,E56, IF(ROUND(E56,1)=0,0,B56)*(1+$B$12))</f>
        <v>96468.75</v>
      </c>
      <c r="C57" s="45">
        <f t="shared" si="1"/>
        <v>46608.10789</v>
      </c>
      <c r="D57" s="45">
        <f t="shared" si="5"/>
        <v>49860.64211</v>
      </c>
      <c r="E57" s="46">
        <f t="shared" si="2"/>
        <v>8333042.671</v>
      </c>
      <c r="F57" s="47">
        <v>47500.0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2.5" customHeight="1">
      <c r="A58" s="44">
        <v>46478.0</v>
      </c>
      <c r="B58" s="45">
        <f t="shared" ref="B58:B68" si="7">if(E57&lt;B57,E57,IF(ROUND(E57,1)=0,0,B57))</f>
        <v>96468.75</v>
      </c>
      <c r="C58" s="45">
        <f t="shared" si="1"/>
        <v>47164.9142</v>
      </c>
      <c r="D58" s="45">
        <f t="shared" si="5"/>
        <v>49303.8358</v>
      </c>
      <c r="E58" s="46">
        <f t="shared" si="2"/>
        <v>8238377.757</v>
      </c>
      <c r="F58" s="47">
        <v>47500.0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2.5" customHeight="1">
      <c r="A59" s="44">
        <v>46508.0</v>
      </c>
      <c r="B59" s="45">
        <f t="shared" si="7"/>
        <v>96468.75</v>
      </c>
      <c r="C59" s="45">
        <f t="shared" si="1"/>
        <v>47725.01494</v>
      </c>
      <c r="D59" s="45">
        <f t="shared" si="5"/>
        <v>48743.73506</v>
      </c>
      <c r="E59" s="46">
        <f t="shared" si="2"/>
        <v>8143152.742</v>
      </c>
      <c r="F59" s="47">
        <v>47500.0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2.5" customHeight="1">
      <c r="A60" s="44">
        <v>46539.0</v>
      </c>
      <c r="B60" s="45">
        <f t="shared" si="7"/>
        <v>96468.75</v>
      </c>
      <c r="C60" s="45">
        <f t="shared" si="1"/>
        <v>48288.42961</v>
      </c>
      <c r="D60" s="45">
        <f t="shared" si="5"/>
        <v>48180.32039</v>
      </c>
      <c r="E60" s="46">
        <f t="shared" si="2"/>
        <v>8047364.312</v>
      </c>
      <c r="F60" s="47">
        <v>47500.0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2.5" customHeight="1">
      <c r="A61" s="44">
        <v>46569.0</v>
      </c>
      <c r="B61" s="45">
        <f t="shared" si="7"/>
        <v>96468.75</v>
      </c>
      <c r="C61" s="45">
        <f t="shared" si="1"/>
        <v>48855.17782</v>
      </c>
      <c r="D61" s="45">
        <f t="shared" si="5"/>
        <v>47613.57218</v>
      </c>
      <c r="E61" s="46">
        <f t="shared" si="2"/>
        <v>7951009.135</v>
      </c>
      <c r="F61" s="47">
        <v>47500.0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2.5" customHeight="1">
      <c r="A62" s="44">
        <v>46600.0</v>
      </c>
      <c r="B62" s="45">
        <f t="shared" si="7"/>
        <v>96468.75</v>
      </c>
      <c r="C62" s="45">
        <f t="shared" si="1"/>
        <v>49425.27929</v>
      </c>
      <c r="D62" s="45">
        <f t="shared" si="5"/>
        <v>47043.47071</v>
      </c>
      <c r="E62" s="46">
        <f t="shared" si="2"/>
        <v>7854083.855</v>
      </c>
      <c r="F62" s="47">
        <v>47500.0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2.5" customHeight="1">
      <c r="A63" s="44">
        <v>46631.0</v>
      </c>
      <c r="B63" s="45">
        <f t="shared" si="7"/>
        <v>96468.75</v>
      </c>
      <c r="C63" s="45">
        <f t="shared" si="1"/>
        <v>49998.75386</v>
      </c>
      <c r="D63" s="45">
        <f t="shared" si="5"/>
        <v>46469.99614</v>
      </c>
      <c r="E63" s="46">
        <f t="shared" si="2"/>
        <v>7756585.101</v>
      </c>
      <c r="F63" s="47">
        <v>47500.0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2.5" customHeight="1">
      <c r="A64" s="44">
        <v>46661.0</v>
      </c>
      <c r="B64" s="45">
        <f t="shared" si="7"/>
        <v>96468.75</v>
      </c>
      <c r="C64" s="45">
        <f t="shared" si="1"/>
        <v>50575.62148</v>
      </c>
      <c r="D64" s="45">
        <f t="shared" si="5"/>
        <v>45893.12852</v>
      </c>
      <c r="E64" s="46">
        <f t="shared" si="2"/>
        <v>7658509.48</v>
      </c>
      <c r="F64" s="47">
        <v>47500.0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2.5" customHeight="1">
      <c r="A65" s="44">
        <v>46692.0</v>
      </c>
      <c r="B65" s="45">
        <f t="shared" si="7"/>
        <v>96468.75</v>
      </c>
      <c r="C65" s="45">
        <f t="shared" si="1"/>
        <v>51155.90224</v>
      </c>
      <c r="D65" s="45">
        <f t="shared" si="5"/>
        <v>45312.84776</v>
      </c>
      <c r="E65" s="46">
        <f t="shared" si="2"/>
        <v>7559853.578</v>
      </c>
      <c r="F65" s="47">
        <v>47500.0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2.5" customHeight="1">
      <c r="A66" s="44">
        <v>46722.0</v>
      </c>
      <c r="B66" s="45">
        <f t="shared" si="7"/>
        <v>96468.75</v>
      </c>
      <c r="C66" s="45">
        <f t="shared" si="1"/>
        <v>51739.61633</v>
      </c>
      <c r="D66" s="45">
        <f t="shared" si="5"/>
        <v>44729.13367</v>
      </c>
      <c r="E66" s="46">
        <f t="shared" si="2"/>
        <v>7460613.961</v>
      </c>
      <c r="F66" s="47">
        <v>47500.0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2.5" customHeight="1">
      <c r="A67" s="44">
        <v>46753.0</v>
      </c>
      <c r="B67" s="45">
        <f t="shared" si="7"/>
        <v>96468.75</v>
      </c>
      <c r="C67" s="45">
        <f t="shared" si="1"/>
        <v>52326.78406</v>
      </c>
      <c r="D67" s="45">
        <f t="shared" si="5"/>
        <v>44141.96594</v>
      </c>
      <c r="E67" s="46">
        <f t="shared" si="2"/>
        <v>7360787.177</v>
      </c>
      <c r="F67" s="47">
        <v>47500.0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2.5" customHeight="1">
      <c r="A68" s="44">
        <v>46784.0</v>
      </c>
      <c r="B68" s="45">
        <f t="shared" si="7"/>
        <v>96468.75</v>
      </c>
      <c r="C68" s="45">
        <f t="shared" si="1"/>
        <v>52917.42587</v>
      </c>
      <c r="D68" s="45">
        <f t="shared" si="5"/>
        <v>43551.32413</v>
      </c>
      <c r="E68" s="46">
        <f t="shared" si="2"/>
        <v>7260369.751</v>
      </c>
      <c r="F68" s="47">
        <v>47500.0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2.5" customHeight="1">
      <c r="A69" s="44">
        <v>46813.0</v>
      </c>
      <c r="B69" s="45">
        <f>if(E68&lt;=B68,E68, IF(ROUND(E68,1)=0,0,B68)*(1+$B$12))</f>
        <v>101292.1875</v>
      </c>
      <c r="C69" s="45">
        <f t="shared" si="1"/>
        <v>58334.9998</v>
      </c>
      <c r="D69" s="45">
        <f t="shared" si="5"/>
        <v>42957.1877</v>
      </c>
      <c r="E69" s="46">
        <f t="shared" si="2"/>
        <v>7154534.752</v>
      </c>
      <c r="F69" s="47">
        <v>47500.0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2.5" customHeight="1">
      <c r="A70" s="44">
        <v>46844.0</v>
      </c>
      <c r="B70" s="45">
        <f t="shared" ref="B70:B80" si="8">if(E69&lt;B69,E69,IF(ROUND(E69,1)=0,0,B69))</f>
        <v>101292.1875</v>
      </c>
      <c r="C70" s="45">
        <f t="shared" si="1"/>
        <v>58961.19022</v>
      </c>
      <c r="D70" s="45">
        <f t="shared" si="5"/>
        <v>42330.99728</v>
      </c>
      <c r="E70" s="46">
        <f t="shared" si="2"/>
        <v>7048073.561</v>
      </c>
      <c r="F70" s="47">
        <v>47500.0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2.5" customHeight="1">
      <c r="A71" s="44">
        <v>46874.0</v>
      </c>
      <c r="B71" s="45">
        <f t="shared" si="8"/>
        <v>101292.1875</v>
      </c>
      <c r="C71" s="45">
        <f t="shared" si="1"/>
        <v>59591.0856</v>
      </c>
      <c r="D71" s="45">
        <f t="shared" si="5"/>
        <v>41701.1019</v>
      </c>
      <c r="E71" s="46">
        <f t="shared" si="2"/>
        <v>6940982.476</v>
      </c>
      <c r="F71" s="47">
        <v>47500.0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2.5" customHeight="1">
      <c r="A72" s="44">
        <v>46905.0</v>
      </c>
      <c r="B72" s="45">
        <f t="shared" si="8"/>
        <v>101292.1875</v>
      </c>
      <c r="C72" s="45">
        <f t="shared" si="1"/>
        <v>60224.70785</v>
      </c>
      <c r="D72" s="45">
        <f t="shared" si="5"/>
        <v>41067.47965</v>
      </c>
      <c r="E72" s="46">
        <f t="shared" si="2"/>
        <v>6833257.768</v>
      </c>
      <c r="F72" s="47">
        <v>47500.0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2.5" customHeight="1">
      <c r="A73" s="44">
        <v>46935.0</v>
      </c>
      <c r="B73" s="45">
        <f t="shared" si="8"/>
        <v>101292.1875</v>
      </c>
      <c r="C73" s="45">
        <f t="shared" si="1"/>
        <v>60862.07904</v>
      </c>
      <c r="D73" s="45">
        <f t="shared" si="5"/>
        <v>40430.10846</v>
      </c>
      <c r="E73" s="46">
        <f t="shared" si="2"/>
        <v>6724895.689</v>
      </c>
      <c r="F73" s="47">
        <v>47500.0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2.5" customHeight="1">
      <c r="A74" s="44">
        <v>46966.0</v>
      </c>
      <c r="B74" s="45">
        <f t="shared" si="8"/>
        <v>101292.1875</v>
      </c>
      <c r="C74" s="45">
        <f t="shared" si="1"/>
        <v>61503.22134</v>
      </c>
      <c r="D74" s="45">
        <f t="shared" si="5"/>
        <v>39788.96616</v>
      </c>
      <c r="E74" s="46">
        <f t="shared" si="2"/>
        <v>6615892.468</v>
      </c>
      <c r="F74" s="47">
        <v>47500.0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2.5" customHeight="1">
      <c r="A75" s="44">
        <v>46997.0</v>
      </c>
      <c r="B75" s="45">
        <f t="shared" si="8"/>
        <v>101292.1875</v>
      </c>
      <c r="C75" s="45">
        <f t="shared" si="1"/>
        <v>62148.15707</v>
      </c>
      <c r="D75" s="45">
        <f t="shared" si="5"/>
        <v>39144.03043</v>
      </c>
      <c r="E75" s="46">
        <f t="shared" si="2"/>
        <v>6506244.31</v>
      </c>
      <c r="F75" s="47">
        <v>47500.0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2.5" customHeight="1">
      <c r="A76" s="44">
        <v>47027.0</v>
      </c>
      <c r="B76" s="45">
        <f t="shared" si="8"/>
        <v>101292.1875</v>
      </c>
      <c r="C76" s="45">
        <f t="shared" si="1"/>
        <v>62796.90866</v>
      </c>
      <c r="D76" s="45">
        <f t="shared" si="5"/>
        <v>38495.27884</v>
      </c>
      <c r="E76" s="46">
        <f t="shared" si="2"/>
        <v>6395947.402</v>
      </c>
      <c r="F76" s="47">
        <v>47500.0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2.5" customHeight="1">
      <c r="A77" s="44">
        <v>47058.0</v>
      </c>
      <c r="B77" s="45">
        <f t="shared" si="8"/>
        <v>101292.1875</v>
      </c>
      <c r="C77" s="45">
        <f t="shared" si="1"/>
        <v>63449.49871</v>
      </c>
      <c r="D77" s="45">
        <f t="shared" si="5"/>
        <v>37842.68879</v>
      </c>
      <c r="E77" s="46">
        <f t="shared" si="2"/>
        <v>6284997.903</v>
      </c>
      <c r="F77" s="47">
        <v>47500.0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2.5" customHeight="1">
      <c r="A78" s="44">
        <v>47088.0</v>
      </c>
      <c r="B78" s="45">
        <f t="shared" si="8"/>
        <v>101292.1875</v>
      </c>
      <c r="C78" s="45">
        <f t="shared" si="1"/>
        <v>64105.94991</v>
      </c>
      <c r="D78" s="45">
        <f t="shared" si="5"/>
        <v>37186.23759</v>
      </c>
      <c r="E78" s="46">
        <f t="shared" si="2"/>
        <v>6173391.953</v>
      </c>
      <c r="F78" s="47">
        <v>47500.0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2.5" customHeight="1">
      <c r="A79" s="44">
        <v>47119.0</v>
      </c>
      <c r="B79" s="45">
        <f t="shared" si="8"/>
        <v>101292.1875</v>
      </c>
      <c r="C79" s="45">
        <f t="shared" si="1"/>
        <v>64766.28511</v>
      </c>
      <c r="D79" s="45">
        <f t="shared" si="5"/>
        <v>36525.90239</v>
      </c>
      <c r="E79" s="46">
        <f t="shared" si="2"/>
        <v>6061125.668</v>
      </c>
      <c r="F79" s="47">
        <v>47500.0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2.5" customHeight="1">
      <c r="A80" s="44">
        <v>47150.0</v>
      </c>
      <c r="B80" s="45">
        <f t="shared" si="8"/>
        <v>101292.1875</v>
      </c>
      <c r="C80" s="45">
        <f t="shared" si="1"/>
        <v>65430.5273</v>
      </c>
      <c r="D80" s="45">
        <f t="shared" si="5"/>
        <v>35861.6602</v>
      </c>
      <c r="E80" s="46">
        <f t="shared" si="2"/>
        <v>5948195.141</v>
      </c>
      <c r="F80" s="47">
        <v>47500.0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2.5" customHeight="1">
      <c r="A81" s="44">
        <v>47178.0</v>
      </c>
      <c r="B81" s="45">
        <f>if(E80&lt;=B80,E80, IF(ROUND(E80,1)=0,0,B80)*(1+$B$12))</f>
        <v>106356.7969</v>
      </c>
      <c r="C81" s="45">
        <f t="shared" si="1"/>
        <v>71163.30896</v>
      </c>
      <c r="D81" s="45">
        <f t="shared" si="5"/>
        <v>35193.48792</v>
      </c>
      <c r="E81" s="46">
        <f t="shared" si="2"/>
        <v>5829531.832</v>
      </c>
      <c r="F81" s="47">
        <v>47500.0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2.5" customHeight="1">
      <c r="A82" s="44">
        <v>47209.0</v>
      </c>
      <c r="B82" s="45">
        <f t="shared" ref="B82:B92" si="9">if(E81&lt;B81,E81,IF(ROUND(E81,1)=0,0,B81))</f>
        <v>106356.7969</v>
      </c>
      <c r="C82" s="45">
        <f t="shared" si="1"/>
        <v>71865.4002</v>
      </c>
      <c r="D82" s="45">
        <f t="shared" si="5"/>
        <v>34491.39667</v>
      </c>
      <c r="E82" s="46">
        <f t="shared" si="2"/>
        <v>5710166.432</v>
      </c>
      <c r="F82" s="47">
        <v>47500.0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2.5" customHeight="1">
      <c r="A83" s="44">
        <v>47239.0</v>
      </c>
      <c r="B83" s="45">
        <f t="shared" si="9"/>
        <v>106356.7969</v>
      </c>
      <c r="C83" s="45">
        <f t="shared" si="1"/>
        <v>72571.64549</v>
      </c>
      <c r="D83" s="45">
        <f t="shared" si="5"/>
        <v>33785.15139</v>
      </c>
      <c r="E83" s="46">
        <f t="shared" si="2"/>
        <v>5590094.786</v>
      </c>
      <c r="F83" s="47">
        <v>47500.0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2.5" customHeight="1">
      <c r="A84" s="44">
        <v>47270.0</v>
      </c>
      <c r="B84" s="45">
        <f t="shared" si="9"/>
        <v>106356.7969</v>
      </c>
      <c r="C84" s="45">
        <f t="shared" si="1"/>
        <v>73282.06939</v>
      </c>
      <c r="D84" s="45">
        <f t="shared" si="5"/>
        <v>33074.72748</v>
      </c>
      <c r="E84" s="46">
        <f t="shared" si="2"/>
        <v>5469312.717</v>
      </c>
      <c r="F84" s="47">
        <v>47500.0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2.5" customHeight="1">
      <c r="A85" s="44">
        <v>47300.0</v>
      </c>
      <c r="B85" s="45">
        <f t="shared" si="9"/>
        <v>106356.7969</v>
      </c>
      <c r="C85" s="45">
        <f t="shared" si="1"/>
        <v>73996.69663</v>
      </c>
      <c r="D85" s="45">
        <f t="shared" si="5"/>
        <v>32360.10024</v>
      </c>
      <c r="E85" s="46">
        <f t="shared" si="2"/>
        <v>5347816.02</v>
      </c>
      <c r="F85" s="47">
        <v>47500.0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2.5" customHeight="1">
      <c r="A86" s="44">
        <v>47331.0</v>
      </c>
      <c r="B86" s="45">
        <f t="shared" si="9"/>
        <v>106356.7969</v>
      </c>
      <c r="C86" s="45">
        <f t="shared" si="1"/>
        <v>74715.55209</v>
      </c>
      <c r="D86" s="45">
        <f t="shared" si="5"/>
        <v>31641.24479</v>
      </c>
      <c r="E86" s="46">
        <f t="shared" si="2"/>
        <v>5225600.468</v>
      </c>
      <c r="F86" s="47">
        <v>47500.0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2.5" customHeight="1">
      <c r="A87" s="44">
        <v>47362.0</v>
      </c>
      <c r="B87" s="45">
        <f t="shared" si="9"/>
        <v>106356.7969</v>
      </c>
      <c r="C87" s="45">
        <f t="shared" si="1"/>
        <v>75438.66077</v>
      </c>
      <c r="D87" s="45">
        <f t="shared" si="5"/>
        <v>30918.1361</v>
      </c>
      <c r="E87" s="46">
        <f t="shared" si="2"/>
        <v>5102661.807</v>
      </c>
      <c r="F87" s="47">
        <v>47500.0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2.5" customHeight="1">
      <c r="A88" s="44">
        <v>47392.0</v>
      </c>
      <c r="B88" s="45">
        <f t="shared" si="9"/>
        <v>106356.7969</v>
      </c>
      <c r="C88" s="45">
        <f t="shared" si="1"/>
        <v>76166.04785</v>
      </c>
      <c r="D88" s="45">
        <f t="shared" si="5"/>
        <v>30190.74903</v>
      </c>
      <c r="E88" s="46">
        <f t="shared" si="2"/>
        <v>4978995.759</v>
      </c>
      <c r="F88" s="47">
        <v>47500.0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2.5" customHeight="1">
      <c r="A89" s="44">
        <v>47423.0</v>
      </c>
      <c r="B89" s="45">
        <f t="shared" si="9"/>
        <v>106356.7969</v>
      </c>
      <c r="C89" s="45">
        <f t="shared" si="1"/>
        <v>76897.73863</v>
      </c>
      <c r="D89" s="45">
        <f t="shared" si="5"/>
        <v>29459.05824</v>
      </c>
      <c r="E89" s="46">
        <f t="shared" si="2"/>
        <v>4854598.021</v>
      </c>
      <c r="F89" s="47">
        <v>47500.0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2.5" customHeight="1">
      <c r="A90" s="44">
        <v>47453.0</v>
      </c>
      <c r="B90" s="45">
        <f t="shared" si="9"/>
        <v>106356.7969</v>
      </c>
      <c r="C90" s="45">
        <f t="shared" si="1"/>
        <v>77633.75859</v>
      </c>
      <c r="D90" s="45">
        <f t="shared" si="5"/>
        <v>28723.03829</v>
      </c>
      <c r="E90" s="46">
        <f t="shared" si="2"/>
        <v>4729464.262</v>
      </c>
      <c r="F90" s="47">
        <v>47500.0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2.5" customHeight="1">
      <c r="A91" s="44">
        <v>47484.0</v>
      </c>
      <c r="B91" s="45">
        <f t="shared" si="9"/>
        <v>106356.7969</v>
      </c>
      <c r="C91" s="45">
        <f t="shared" si="1"/>
        <v>78374.13332</v>
      </c>
      <c r="D91" s="45">
        <f t="shared" si="5"/>
        <v>27982.66355</v>
      </c>
      <c r="E91" s="46">
        <f t="shared" si="2"/>
        <v>4603590.129</v>
      </c>
      <c r="F91" s="47">
        <v>47500.0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2.5" customHeight="1">
      <c r="A92" s="44">
        <v>47515.0</v>
      </c>
      <c r="B92" s="45">
        <f t="shared" si="9"/>
        <v>106356.7969</v>
      </c>
      <c r="C92" s="45">
        <f t="shared" si="1"/>
        <v>79118.88861</v>
      </c>
      <c r="D92" s="45">
        <f t="shared" si="5"/>
        <v>27237.90826</v>
      </c>
      <c r="E92" s="46">
        <f t="shared" si="2"/>
        <v>4476971.24</v>
      </c>
      <c r="F92" s="47">
        <v>47500.0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2.5" customHeight="1">
      <c r="A93" s="44">
        <v>47543.0</v>
      </c>
      <c r="B93" s="45">
        <f>if(E92&lt;=B92,E92, IF(ROUND(E92,1)=0,0,B92)*(1+$B$12))</f>
        <v>111674.6367</v>
      </c>
      <c r="C93" s="45">
        <f t="shared" si="1"/>
        <v>85185.89021</v>
      </c>
      <c r="D93" s="45">
        <f t="shared" si="5"/>
        <v>26488.7465</v>
      </c>
      <c r="E93" s="46">
        <f t="shared" si="2"/>
        <v>4344285.35</v>
      </c>
      <c r="F93" s="47">
        <v>47500.0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2.5" customHeight="1">
      <c r="A94" s="44">
        <v>47574.0</v>
      </c>
      <c r="B94" s="45">
        <f t="shared" ref="B94:B104" si="10">if(E93&lt;B93,E93,IF(ROUND(E93,1)=0,0,B93))</f>
        <v>111674.6367</v>
      </c>
      <c r="C94" s="45">
        <f t="shared" si="1"/>
        <v>85970.9484</v>
      </c>
      <c r="D94" s="45">
        <f t="shared" si="5"/>
        <v>25703.68832</v>
      </c>
      <c r="E94" s="46">
        <f t="shared" si="2"/>
        <v>4210814.402</v>
      </c>
      <c r="F94" s="47">
        <v>47500.0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2.5" customHeight="1">
      <c r="A95" s="44">
        <v>47604.0</v>
      </c>
      <c r="B95" s="45">
        <f t="shared" si="10"/>
        <v>111674.6367</v>
      </c>
      <c r="C95" s="45">
        <f t="shared" si="1"/>
        <v>86760.65151</v>
      </c>
      <c r="D95" s="45">
        <f t="shared" si="5"/>
        <v>24913.98521</v>
      </c>
      <c r="E95" s="46">
        <f t="shared" si="2"/>
        <v>4076553.75</v>
      </c>
      <c r="F95" s="47">
        <v>47500.0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2.5" customHeight="1">
      <c r="A96" s="44">
        <v>47635.0</v>
      </c>
      <c r="B96" s="45">
        <f t="shared" si="10"/>
        <v>111674.6367</v>
      </c>
      <c r="C96" s="45">
        <f t="shared" si="1"/>
        <v>87555.02703</v>
      </c>
      <c r="D96" s="45">
        <f t="shared" si="5"/>
        <v>24119.60969</v>
      </c>
      <c r="E96" s="46">
        <f t="shared" si="2"/>
        <v>3941498.723</v>
      </c>
      <c r="F96" s="47">
        <v>47500.0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2.5" customHeight="1">
      <c r="A97" s="44">
        <v>47665.0</v>
      </c>
      <c r="B97" s="45">
        <f t="shared" si="10"/>
        <v>111674.6367</v>
      </c>
      <c r="C97" s="45">
        <f t="shared" si="1"/>
        <v>88354.10261</v>
      </c>
      <c r="D97" s="45">
        <f t="shared" si="5"/>
        <v>23320.53411</v>
      </c>
      <c r="E97" s="46">
        <f t="shared" si="2"/>
        <v>3805644.62</v>
      </c>
      <c r="F97" s="47">
        <v>47500.0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2.5" customHeight="1">
      <c r="A98" s="44">
        <v>47696.0</v>
      </c>
      <c r="B98" s="45">
        <f t="shared" si="10"/>
        <v>111674.6367</v>
      </c>
      <c r="C98" s="45">
        <f t="shared" si="1"/>
        <v>89157.90605</v>
      </c>
      <c r="D98" s="45">
        <f t="shared" si="5"/>
        <v>22516.73067</v>
      </c>
      <c r="E98" s="46">
        <f t="shared" si="2"/>
        <v>3668986.714</v>
      </c>
      <c r="F98" s="47">
        <v>47500.0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2.5" customHeight="1">
      <c r="A99" s="44">
        <v>47727.0</v>
      </c>
      <c r="B99" s="45">
        <f t="shared" si="10"/>
        <v>111674.6367</v>
      </c>
      <c r="C99" s="45">
        <f t="shared" si="1"/>
        <v>89966.46533</v>
      </c>
      <c r="D99" s="45">
        <f t="shared" si="5"/>
        <v>21708.17139</v>
      </c>
      <c r="E99" s="46">
        <f t="shared" si="2"/>
        <v>3531520.249</v>
      </c>
      <c r="F99" s="47">
        <v>47500.0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2.5" customHeight="1">
      <c r="A100" s="44">
        <v>47757.0</v>
      </c>
      <c r="B100" s="45">
        <f t="shared" si="10"/>
        <v>111674.6367</v>
      </c>
      <c r="C100" s="45">
        <f t="shared" si="1"/>
        <v>90779.80858</v>
      </c>
      <c r="D100" s="45">
        <f t="shared" si="5"/>
        <v>20894.82814</v>
      </c>
      <c r="E100" s="46">
        <f t="shared" si="2"/>
        <v>3393240.441</v>
      </c>
      <c r="F100" s="47">
        <v>47500.0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2.5" customHeight="1">
      <c r="A101" s="44">
        <v>47788.0</v>
      </c>
      <c r="B101" s="45">
        <f t="shared" si="10"/>
        <v>111674.6367</v>
      </c>
      <c r="C101" s="45">
        <f t="shared" si="1"/>
        <v>91597.96411</v>
      </c>
      <c r="D101" s="45">
        <f t="shared" si="5"/>
        <v>20076.67261</v>
      </c>
      <c r="E101" s="46">
        <f t="shared" si="2"/>
        <v>3254142.476</v>
      </c>
      <c r="F101" s="47">
        <v>47500.0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2.5" customHeight="1">
      <c r="A102" s="44">
        <v>47818.0</v>
      </c>
      <c r="B102" s="45">
        <f t="shared" si="10"/>
        <v>111674.6367</v>
      </c>
      <c r="C102" s="45">
        <f t="shared" si="1"/>
        <v>92420.9604</v>
      </c>
      <c r="D102" s="45">
        <f t="shared" si="5"/>
        <v>19253.67632</v>
      </c>
      <c r="E102" s="46">
        <f t="shared" si="2"/>
        <v>3114221.516</v>
      </c>
      <c r="F102" s="47">
        <v>47500.0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2.5" customHeight="1">
      <c r="A103" s="44">
        <v>47849.0</v>
      </c>
      <c r="B103" s="45">
        <f t="shared" si="10"/>
        <v>111674.6367</v>
      </c>
      <c r="C103" s="45">
        <f t="shared" si="1"/>
        <v>93248.82608</v>
      </c>
      <c r="D103" s="45">
        <f t="shared" si="5"/>
        <v>18425.81064</v>
      </c>
      <c r="E103" s="46">
        <f t="shared" si="2"/>
        <v>2973472.69</v>
      </c>
      <c r="F103" s="47">
        <v>47500.0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2.5" customHeight="1">
      <c r="A104" s="44">
        <v>47880.0</v>
      </c>
      <c r="B104" s="45">
        <f t="shared" si="10"/>
        <v>111674.6367</v>
      </c>
      <c r="C104" s="45">
        <f t="shared" si="1"/>
        <v>94081.58997</v>
      </c>
      <c r="D104" s="45">
        <f t="shared" si="5"/>
        <v>17593.04675</v>
      </c>
      <c r="E104" s="46">
        <f t="shared" si="2"/>
        <v>2831891.1</v>
      </c>
      <c r="F104" s="47">
        <v>47500.0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2.5" customHeight="1">
      <c r="A105" s="44">
        <v>47908.0</v>
      </c>
      <c r="B105" s="45">
        <f>if(E104&lt;=B104,E104, IF(ROUND(E104,1)=0,0,B104)*(1+$B$12))</f>
        <v>117258.3686</v>
      </c>
      <c r="C105" s="45">
        <f t="shared" si="1"/>
        <v>100503.0129</v>
      </c>
      <c r="D105" s="45">
        <f t="shared" si="5"/>
        <v>16755.35567</v>
      </c>
      <c r="E105" s="46">
        <f t="shared" si="2"/>
        <v>2683888.087</v>
      </c>
      <c r="F105" s="47">
        <v>47500.0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2.5" customHeight="1">
      <c r="A106" s="44">
        <v>47939.0</v>
      </c>
      <c r="B106" s="45">
        <f t="shared" ref="B106:B116" si="11">if(E105&lt;B105,E105,IF(ROUND(E105,1)=0,0,B105))</f>
        <v>117258.3686</v>
      </c>
      <c r="C106" s="45">
        <f t="shared" si="1"/>
        <v>101378.6974</v>
      </c>
      <c r="D106" s="45">
        <f t="shared" si="5"/>
        <v>15879.67118</v>
      </c>
      <c r="E106" s="46">
        <f t="shared" si="2"/>
        <v>2535009.39</v>
      </c>
      <c r="F106" s="47">
        <v>47500.0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2.5" customHeight="1">
      <c r="A107" s="44">
        <v>47969.0</v>
      </c>
      <c r="B107" s="45">
        <f t="shared" si="11"/>
        <v>117258.3686</v>
      </c>
      <c r="C107" s="45">
        <f t="shared" si="1"/>
        <v>102259.563</v>
      </c>
      <c r="D107" s="45">
        <f t="shared" si="5"/>
        <v>14998.80556</v>
      </c>
      <c r="E107" s="46">
        <f t="shared" si="2"/>
        <v>2385249.827</v>
      </c>
      <c r="F107" s="47">
        <v>47500.0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2.5" customHeight="1">
      <c r="A108" s="44">
        <v>48000.0</v>
      </c>
      <c r="B108" s="45">
        <f t="shared" si="11"/>
        <v>117258.3686</v>
      </c>
      <c r="C108" s="45">
        <f t="shared" si="1"/>
        <v>103145.6404</v>
      </c>
      <c r="D108" s="45">
        <f t="shared" si="5"/>
        <v>14112.72814</v>
      </c>
      <c r="E108" s="46">
        <f t="shared" si="2"/>
        <v>2234604.186</v>
      </c>
      <c r="F108" s="47">
        <v>47500.0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2.5" customHeight="1">
      <c r="A109" s="44">
        <v>48030.0</v>
      </c>
      <c r="B109" s="45">
        <f t="shared" si="11"/>
        <v>117258.3686</v>
      </c>
      <c r="C109" s="45">
        <f t="shared" si="1"/>
        <v>104036.9605</v>
      </c>
      <c r="D109" s="45">
        <f t="shared" si="5"/>
        <v>13221.4081</v>
      </c>
      <c r="E109" s="46">
        <f t="shared" si="2"/>
        <v>2083067.226</v>
      </c>
      <c r="F109" s="47">
        <v>47500.0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2.5" customHeight="1">
      <c r="A110" s="44">
        <v>48061.0</v>
      </c>
      <c r="B110" s="45">
        <f t="shared" si="11"/>
        <v>117258.3686</v>
      </c>
      <c r="C110" s="45">
        <f t="shared" si="1"/>
        <v>104933.5541</v>
      </c>
      <c r="D110" s="45">
        <f t="shared" si="5"/>
        <v>12324.81442</v>
      </c>
      <c r="E110" s="46">
        <f t="shared" si="2"/>
        <v>1930633.672</v>
      </c>
      <c r="F110" s="47">
        <v>47500.0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2.5" customHeight="1">
      <c r="A111" s="44">
        <v>48092.0</v>
      </c>
      <c r="B111" s="45">
        <f t="shared" si="11"/>
        <v>117258.3686</v>
      </c>
      <c r="C111" s="45">
        <f t="shared" si="1"/>
        <v>105835.4527</v>
      </c>
      <c r="D111" s="45">
        <f t="shared" si="5"/>
        <v>11422.91589</v>
      </c>
      <c r="E111" s="46">
        <f t="shared" si="2"/>
        <v>1777298.219</v>
      </c>
      <c r="F111" s="47">
        <v>47500.0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2.5" customHeight="1">
      <c r="A112" s="44">
        <v>48122.0</v>
      </c>
      <c r="B112" s="45">
        <f t="shared" si="11"/>
        <v>117258.3686</v>
      </c>
      <c r="C112" s="45">
        <f t="shared" si="1"/>
        <v>106742.6874</v>
      </c>
      <c r="D112" s="45">
        <f t="shared" si="5"/>
        <v>10515.68113</v>
      </c>
      <c r="E112" s="46">
        <f t="shared" si="2"/>
        <v>1623055.532</v>
      </c>
      <c r="F112" s="47">
        <v>47500.0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2.5" customHeight="1">
      <c r="A113" s="44">
        <v>48153.0</v>
      </c>
      <c r="B113" s="45">
        <f t="shared" si="11"/>
        <v>117258.3686</v>
      </c>
      <c r="C113" s="45">
        <f t="shared" si="1"/>
        <v>107655.29</v>
      </c>
      <c r="D113" s="45">
        <f t="shared" si="5"/>
        <v>9603.078562</v>
      </c>
      <c r="E113" s="46">
        <f t="shared" si="2"/>
        <v>1467900.242</v>
      </c>
      <c r="F113" s="47">
        <v>47500.0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2.5" customHeight="1">
      <c r="A114" s="44">
        <v>48183.0</v>
      </c>
      <c r="B114" s="45">
        <f t="shared" si="11"/>
        <v>117258.3686</v>
      </c>
      <c r="C114" s="45">
        <f t="shared" si="1"/>
        <v>108573.2921</v>
      </c>
      <c r="D114" s="45">
        <f t="shared" si="5"/>
        <v>8685.07643</v>
      </c>
      <c r="E114" s="46">
        <f t="shared" si="2"/>
        <v>1311826.949</v>
      </c>
      <c r="F114" s="47">
        <v>47500.0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2.5" customHeight="1">
      <c r="A115" s="44">
        <v>48214.0</v>
      </c>
      <c r="B115" s="45">
        <f t="shared" si="11"/>
        <v>117258.3686</v>
      </c>
      <c r="C115" s="45">
        <f t="shared" si="1"/>
        <v>109496.7258</v>
      </c>
      <c r="D115" s="45">
        <f t="shared" si="5"/>
        <v>7761.642785</v>
      </c>
      <c r="E115" s="46">
        <f t="shared" si="2"/>
        <v>1154830.224</v>
      </c>
      <c r="F115" s="47">
        <v>47500.0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2.5" customHeight="1">
      <c r="A116" s="44">
        <v>48245.0</v>
      </c>
      <c r="B116" s="45">
        <f t="shared" si="11"/>
        <v>117258.3686</v>
      </c>
      <c r="C116" s="45">
        <f t="shared" si="1"/>
        <v>110425.6231</v>
      </c>
      <c r="D116" s="45">
        <f t="shared" si="5"/>
        <v>6832.74549</v>
      </c>
      <c r="E116" s="46">
        <f t="shared" si="2"/>
        <v>996904.6007</v>
      </c>
      <c r="F116" s="47">
        <v>47500.0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2.5" customHeight="1">
      <c r="A117" s="44">
        <v>48274.0</v>
      </c>
      <c r="B117" s="45">
        <f>if(E116&lt;=B116,E116, IF(ROUND(E116,1)=0,0,B116)*(1+$B$12))</f>
        <v>123121.287</v>
      </c>
      <c r="C117" s="45">
        <f t="shared" si="1"/>
        <v>117222.9348</v>
      </c>
      <c r="D117" s="45">
        <f t="shared" si="5"/>
        <v>5898.352221</v>
      </c>
      <c r="E117" s="46">
        <f t="shared" si="2"/>
        <v>832181.6659</v>
      </c>
      <c r="F117" s="47">
        <v>47500.0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2.5" customHeight="1">
      <c r="A118" s="44">
        <v>48305.0</v>
      </c>
      <c r="B118" s="45">
        <f t="shared" ref="B118:B128" si="12">if(E117&lt;B117,E117,IF(ROUND(E117,1)=0,0,B117))</f>
        <v>123121.287</v>
      </c>
      <c r="C118" s="45">
        <f t="shared" si="1"/>
        <v>118197.5455</v>
      </c>
      <c r="D118" s="45">
        <f t="shared" si="5"/>
        <v>4923.741523</v>
      </c>
      <c r="E118" s="46">
        <f t="shared" si="2"/>
        <v>666484.1204</v>
      </c>
      <c r="F118" s="47">
        <v>47500.0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2.5" customHeight="1">
      <c r="A119" s="44">
        <v>48335.0</v>
      </c>
      <c r="B119" s="45">
        <f t="shared" si="12"/>
        <v>123121.287</v>
      </c>
      <c r="C119" s="45">
        <f t="shared" si="1"/>
        <v>119177.9226</v>
      </c>
      <c r="D119" s="45">
        <f t="shared" si="5"/>
        <v>3943.364379</v>
      </c>
      <c r="E119" s="46">
        <f t="shared" si="2"/>
        <v>499806.1978</v>
      </c>
      <c r="F119" s="47">
        <v>47500.0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2.5" customHeight="1">
      <c r="A120" s="44">
        <v>48366.0</v>
      </c>
      <c r="B120" s="45">
        <f t="shared" si="12"/>
        <v>123121.287</v>
      </c>
      <c r="C120" s="45">
        <f t="shared" si="1"/>
        <v>120164.1003</v>
      </c>
      <c r="D120" s="45">
        <f t="shared" si="5"/>
        <v>2957.186671</v>
      </c>
      <c r="E120" s="46">
        <f t="shared" si="2"/>
        <v>332142.0975</v>
      </c>
      <c r="F120" s="47">
        <v>47500.0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2.5" customHeight="1">
      <c r="A121" s="44">
        <v>48396.0</v>
      </c>
      <c r="B121" s="45">
        <f t="shared" si="12"/>
        <v>123121.287</v>
      </c>
      <c r="C121" s="45">
        <f t="shared" si="1"/>
        <v>121156.1129</v>
      </c>
      <c r="D121" s="45">
        <f t="shared" si="5"/>
        <v>1965.174077</v>
      </c>
      <c r="E121" s="46">
        <f t="shared" si="2"/>
        <v>163485.9846</v>
      </c>
      <c r="F121" s="47">
        <v>47500.0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2.5" customHeight="1">
      <c r="A122" s="44">
        <v>48427.0</v>
      </c>
      <c r="B122" s="45">
        <f t="shared" si="12"/>
        <v>123121.287</v>
      </c>
      <c r="C122" s="45">
        <f t="shared" si="1"/>
        <v>122153.9949</v>
      </c>
      <c r="D122" s="45">
        <f t="shared" si="5"/>
        <v>967.2920757</v>
      </c>
      <c r="E122" s="46">
        <f t="shared" si="2"/>
        <v>-6168.010287</v>
      </c>
      <c r="F122" s="47">
        <v>47500.0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2.5" customHeight="1">
      <c r="A123" s="44">
        <v>48458.0</v>
      </c>
      <c r="B123" s="45">
        <f t="shared" si="12"/>
        <v>-6168.010287</v>
      </c>
      <c r="C123" s="45">
        <f t="shared" si="1"/>
        <v>-6168.010287</v>
      </c>
      <c r="D123" s="45">
        <f t="shared" si="5"/>
        <v>0</v>
      </c>
      <c r="E123" s="46">
        <f t="shared" si="2"/>
        <v>0</v>
      </c>
      <c r="F123" s="47">
        <v>47500.0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2.5" customHeight="1">
      <c r="A124" s="44">
        <v>48488.0</v>
      </c>
      <c r="B124" s="45">
        <f t="shared" si="12"/>
        <v>0</v>
      </c>
      <c r="C124" s="45">
        <f t="shared" si="1"/>
        <v>0</v>
      </c>
      <c r="D124" s="45">
        <f t="shared" si="5"/>
        <v>0</v>
      </c>
      <c r="E124" s="46">
        <f t="shared" si="2"/>
        <v>0</v>
      </c>
      <c r="F124" s="47">
        <v>47500.0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2.5" customHeight="1">
      <c r="A125" s="44">
        <v>48519.0</v>
      </c>
      <c r="B125" s="45">
        <f t="shared" si="12"/>
        <v>0</v>
      </c>
      <c r="C125" s="45">
        <f t="shared" si="1"/>
        <v>0</v>
      </c>
      <c r="D125" s="45">
        <f t="shared" si="5"/>
        <v>0</v>
      </c>
      <c r="E125" s="46">
        <f t="shared" si="2"/>
        <v>0</v>
      </c>
      <c r="F125" s="47">
        <v>47500.0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2.5" customHeight="1">
      <c r="A126" s="44">
        <v>48549.0</v>
      </c>
      <c r="B126" s="45">
        <f t="shared" si="12"/>
        <v>0</v>
      </c>
      <c r="C126" s="45">
        <f t="shared" si="1"/>
        <v>0</v>
      </c>
      <c r="D126" s="45">
        <f t="shared" si="5"/>
        <v>0</v>
      </c>
      <c r="E126" s="46">
        <f t="shared" si="2"/>
        <v>0</v>
      </c>
      <c r="F126" s="47">
        <v>47500.0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2.5" customHeight="1">
      <c r="A127" s="44">
        <v>48580.0</v>
      </c>
      <c r="B127" s="45">
        <f t="shared" si="12"/>
        <v>0</v>
      </c>
      <c r="C127" s="45">
        <f t="shared" si="1"/>
        <v>0</v>
      </c>
      <c r="D127" s="45">
        <f t="shared" si="5"/>
        <v>0</v>
      </c>
      <c r="E127" s="46">
        <f t="shared" si="2"/>
        <v>0</v>
      </c>
      <c r="F127" s="47">
        <v>47500.0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2.5" customHeight="1">
      <c r="A128" s="44">
        <v>48611.0</v>
      </c>
      <c r="B128" s="45">
        <f t="shared" si="12"/>
        <v>0</v>
      </c>
      <c r="C128" s="45">
        <f t="shared" si="1"/>
        <v>0</v>
      </c>
      <c r="D128" s="45">
        <f t="shared" si="5"/>
        <v>0</v>
      </c>
      <c r="E128" s="46">
        <f t="shared" si="2"/>
        <v>0</v>
      </c>
      <c r="F128" s="47">
        <v>47500.0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2.5" customHeight="1">
      <c r="A129" s="44">
        <v>48639.0</v>
      </c>
      <c r="B129" s="45">
        <f>if(E128&lt;=B128,E128, IF(ROUND(E128,1)=0,0,B128)*(1+$B$12))</f>
        <v>0</v>
      </c>
      <c r="C129" s="45">
        <f t="shared" si="1"/>
        <v>0</v>
      </c>
      <c r="D129" s="45">
        <f t="shared" si="5"/>
        <v>0</v>
      </c>
      <c r="E129" s="46">
        <f t="shared" si="2"/>
        <v>0</v>
      </c>
      <c r="F129" s="47">
        <v>47500.0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2.5" customHeight="1">
      <c r="A130" s="44">
        <v>48670.0</v>
      </c>
      <c r="B130" s="45">
        <f t="shared" ref="B130:B140" si="13">if(E129&lt;B129,E129,IF(ROUND(E129,1)=0,0,B129))</f>
        <v>0</v>
      </c>
      <c r="C130" s="45">
        <f t="shared" si="1"/>
        <v>0</v>
      </c>
      <c r="D130" s="45">
        <f t="shared" si="5"/>
        <v>0</v>
      </c>
      <c r="E130" s="46">
        <f t="shared" si="2"/>
        <v>0</v>
      </c>
      <c r="F130" s="47">
        <v>47500.0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2.5" customHeight="1">
      <c r="A131" s="44">
        <v>48700.0</v>
      </c>
      <c r="B131" s="45">
        <f t="shared" si="13"/>
        <v>0</v>
      </c>
      <c r="C131" s="45">
        <f t="shared" si="1"/>
        <v>0</v>
      </c>
      <c r="D131" s="45">
        <f t="shared" si="5"/>
        <v>0</v>
      </c>
      <c r="E131" s="46">
        <f t="shared" si="2"/>
        <v>0</v>
      </c>
      <c r="F131" s="47">
        <v>47500.0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2.5" customHeight="1">
      <c r="A132" s="44">
        <v>48731.0</v>
      </c>
      <c r="B132" s="45">
        <f t="shared" si="13"/>
        <v>0</v>
      </c>
      <c r="C132" s="45">
        <f t="shared" si="1"/>
        <v>0</v>
      </c>
      <c r="D132" s="45">
        <f t="shared" si="5"/>
        <v>0</v>
      </c>
      <c r="E132" s="46">
        <f t="shared" si="2"/>
        <v>0</v>
      </c>
      <c r="F132" s="47">
        <v>47500.0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2.5" customHeight="1">
      <c r="A133" s="44">
        <v>48761.0</v>
      </c>
      <c r="B133" s="45">
        <f t="shared" si="13"/>
        <v>0</v>
      </c>
      <c r="C133" s="45">
        <f t="shared" si="1"/>
        <v>0</v>
      </c>
      <c r="D133" s="45">
        <f t="shared" si="5"/>
        <v>0</v>
      </c>
      <c r="E133" s="46">
        <f t="shared" si="2"/>
        <v>0</v>
      </c>
      <c r="F133" s="47">
        <v>47500.0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2.5" customHeight="1">
      <c r="A134" s="44">
        <v>48792.0</v>
      </c>
      <c r="B134" s="45">
        <f t="shared" si="13"/>
        <v>0</v>
      </c>
      <c r="C134" s="45">
        <f t="shared" si="1"/>
        <v>0</v>
      </c>
      <c r="D134" s="45">
        <f t="shared" si="5"/>
        <v>0</v>
      </c>
      <c r="E134" s="46">
        <f t="shared" si="2"/>
        <v>0</v>
      </c>
      <c r="F134" s="47">
        <v>47500.0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2.5" customHeight="1">
      <c r="A135" s="44">
        <v>48823.0</v>
      </c>
      <c r="B135" s="45">
        <f t="shared" si="13"/>
        <v>0</v>
      </c>
      <c r="C135" s="45">
        <f t="shared" si="1"/>
        <v>0</v>
      </c>
      <c r="D135" s="45">
        <f t="shared" si="5"/>
        <v>0</v>
      </c>
      <c r="E135" s="46">
        <f t="shared" si="2"/>
        <v>0</v>
      </c>
      <c r="F135" s="47">
        <v>47500.0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2.5" customHeight="1">
      <c r="A136" s="44">
        <v>48853.0</v>
      </c>
      <c r="B136" s="45">
        <f t="shared" si="13"/>
        <v>0</v>
      </c>
      <c r="C136" s="45">
        <f t="shared" si="1"/>
        <v>0</v>
      </c>
      <c r="D136" s="45">
        <f t="shared" si="5"/>
        <v>0</v>
      </c>
      <c r="E136" s="46">
        <f t="shared" si="2"/>
        <v>0</v>
      </c>
      <c r="F136" s="47">
        <v>47500.0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2.5" customHeight="1">
      <c r="A137" s="44">
        <v>48884.0</v>
      </c>
      <c r="B137" s="45">
        <f t="shared" si="13"/>
        <v>0</v>
      </c>
      <c r="C137" s="45">
        <f t="shared" si="1"/>
        <v>0</v>
      </c>
      <c r="D137" s="45">
        <f t="shared" si="5"/>
        <v>0</v>
      </c>
      <c r="E137" s="46">
        <f t="shared" si="2"/>
        <v>0</v>
      </c>
      <c r="F137" s="47">
        <v>47500.0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2.5" customHeight="1">
      <c r="A138" s="44">
        <v>48914.0</v>
      </c>
      <c r="B138" s="45">
        <f t="shared" si="13"/>
        <v>0</v>
      </c>
      <c r="C138" s="45">
        <f t="shared" si="1"/>
        <v>0</v>
      </c>
      <c r="D138" s="45">
        <f t="shared" si="5"/>
        <v>0</v>
      </c>
      <c r="E138" s="46">
        <f t="shared" si="2"/>
        <v>0</v>
      </c>
      <c r="F138" s="47">
        <v>47500.0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2.5" customHeight="1">
      <c r="A139" s="44">
        <v>48945.0</v>
      </c>
      <c r="B139" s="45">
        <f t="shared" si="13"/>
        <v>0</v>
      </c>
      <c r="C139" s="45">
        <f t="shared" si="1"/>
        <v>0</v>
      </c>
      <c r="D139" s="45">
        <f t="shared" si="5"/>
        <v>0</v>
      </c>
      <c r="E139" s="46">
        <f t="shared" si="2"/>
        <v>0</v>
      </c>
      <c r="F139" s="47">
        <v>47500.0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2.5" customHeight="1">
      <c r="A140" s="44">
        <v>48976.0</v>
      </c>
      <c r="B140" s="45">
        <f t="shared" si="13"/>
        <v>0</v>
      </c>
      <c r="C140" s="45">
        <f t="shared" si="1"/>
        <v>0</v>
      </c>
      <c r="D140" s="45">
        <f t="shared" si="5"/>
        <v>0</v>
      </c>
      <c r="E140" s="46">
        <f t="shared" si="2"/>
        <v>0</v>
      </c>
      <c r="F140" s="47">
        <v>47500.0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2.5" customHeight="1">
      <c r="A141" s="44">
        <v>49004.0</v>
      </c>
      <c r="B141" s="45">
        <f>if(E140&lt;=B140,E140, IF(ROUND(E140,1)=0,0,B140)*(1+$B$12))</f>
        <v>0</v>
      </c>
      <c r="C141" s="45">
        <f t="shared" si="1"/>
        <v>0</v>
      </c>
      <c r="D141" s="45">
        <f t="shared" si="5"/>
        <v>0</v>
      </c>
      <c r="E141" s="46">
        <f t="shared" si="2"/>
        <v>0</v>
      </c>
      <c r="F141" s="47">
        <v>47500.0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2.5" customHeight="1">
      <c r="A142" s="44">
        <v>49035.0</v>
      </c>
      <c r="B142" s="45">
        <f t="shared" ref="B142:B152" si="14">if(E141&lt;B141,E141,IF(ROUND(E141,1)=0,0,B141))</f>
        <v>0</v>
      </c>
      <c r="C142" s="45">
        <f t="shared" si="1"/>
        <v>0</v>
      </c>
      <c r="D142" s="45">
        <f t="shared" si="5"/>
        <v>0</v>
      </c>
      <c r="E142" s="46">
        <f t="shared" si="2"/>
        <v>0</v>
      </c>
      <c r="F142" s="47">
        <v>47500.0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2.5" customHeight="1">
      <c r="A143" s="44">
        <v>49065.0</v>
      </c>
      <c r="B143" s="45">
        <f t="shared" si="14"/>
        <v>0</v>
      </c>
      <c r="C143" s="45">
        <f t="shared" si="1"/>
        <v>0</v>
      </c>
      <c r="D143" s="45">
        <f t="shared" si="5"/>
        <v>0</v>
      </c>
      <c r="E143" s="46">
        <f t="shared" si="2"/>
        <v>0</v>
      </c>
      <c r="F143" s="47">
        <v>47500.0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2.5" customHeight="1">
      <c r="A144" s="44">
        <v>49096.0</v>
      </c>
      <c r="B144" s="45">
        <f t="shared" si="14"/>
        <v>0</v>
      </c>
      <c r="C144" s="45">
        <f t="shared" si="1"/>
        <v>0</v>
      </c>
      <c r="D144" s="45">
        <f t="shared" si="5"/>
        <v>0</v>
      </c>
      <c r="E144" s="46">
        <f t="shared" si="2"/>
        <v>0</v>
      </c>
      <c r="F144" s="47">
        <v>47500.0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2.5" customHeight="1">
      <c r="A145" s="44">
        <v>49126.0</v>
      </c>
      <c r="B145" s="45">
        <f t="shared" si="14"/>
        <v>0</v>
      </c>
      <c r="C145" s="45">
        <f t="shared" si="1"/>
        <v>0</v>
      </c>
      <c r="D145" s="45">
        <f t="shared" si="5"/>
        <v>0</v>
      </c>
      <c r="E145" s="46">
        <f t="shared" si="2"/>
        <v>0</v>
      </c>
      <c r="F145" s="47">
        <v>47500.0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2.5" customHeight="1">
      <c r="A146" s="44">
        <v>49157.0</v>
      </c>
      <c r="B146" s="45">
        <f t="shared" si="14"/>
        <v>0</v>
      </c>
      <c r="C146" s="45">
        <f t="shared" si="1"/>
        <v>0</v>
      </c>
      <c r="D146" s="45">
        <f t="shared" si="5"/>
        <v>0</v>
      </c>
      <c r="E146" s="46">
        <f t="shared" si="2"/>
        <v>0</v>
      </c>
      <c r="F146" s="47">
        <v>47500.0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2.5" customHeight="1">
      <c r="A147" s="44">
        <v>49188.0</v>
      </c>
      <c r="B147" s="45">
        <f t="shared" si="14"/>
        <v>0</v>
      </c>
      <c r="C147" s="45">
        <f t="shared" si="1"/>
        <v>0</v>
      </c>
      <c r="D147" s="45">
        <f t="shared" si="5"/>
        <v>0</v>
      </c>
      <c r="E147" s="46">
        <f t="shared" si="2"/>
        <v>0</v>
      </c>
      <c r="F147" s="47">
        <v>47500.0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2.5" customHeight="1">
      <c r="A148" s="44">
        <v>49218.0</v>
      </c>
      <c r="B148" s="45">
        <f t="shared" si="14"/>
        <v>0</v>
      </c>
      <c r="C148" s="45">
        <f t="shared" si="1"/>
        <v>0</v>
      </c>
      <c r="D148" s="45">
        <f t="shared" si="5"/>
        <v>0</v>
      </c>
      <c r="E148" s="46">
        <f t="shared" si="2"/>
        <v>0</v>
      </c>
      <c r="F148" s="47">
        <v>47500.0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2.5" customHeight="1">
      <c r="A149" s="44">
        <v>49249.0</v>
      </c>
      <c r="B149" s="45">
        <f t="shared" si="14"/>
        <v>0</v>
      </c>
      <c r="C149" s="45">
        <f t="shared" si="1"/>
        <v>0</v>
      </c>
      <c r="D149" s="45">
        <f t="shared" si="5"/>
        <v>0</v>
      </c>
      <c r="E149" s="46">
        <f t="shared" si="2"/>
        <v>0</v>
      </c>
      <c r="F149" s="47">
        <v>47500.0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2.5" customHeight="1">
      <c r="A150" s="44">
        <v>49279.0</v>
      </c>
      <c r="B150" s="45">
        <f t="shared" si="14"/>
        <v>0</v>
      </c>
      <c r="C150" s="45">
        <f t="shared" si="1"/>
        <v>0</v>
      </c>
      <c r="D150" s="45">
        <f t="shared" si="5"/>
        <v>0</v>
      </c>
      <c r="E150" s="46">
        <f t="shared" si="2"/>
        <v>0</v>
      </c>
      <c r="F150" s="47">
        <v>47500.0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2.5" customHeight="1">
      <c r="A151" s="44">
        <v>49310.0</v>
      </c>
      <c r="B151" s="45">
        <f t="shared" si="14"/>
        <v>0</v>
      </c>
      <c r="C151" s="45">
        <f t="shared" si="1"/>
        <v>0</v>
      </c>
      <c r="D151" s="45">
        <f t="shared" si="5"/>
        <v>0</v>
      </c>
      <c r="E151" s="46">
        <f t="shared" si="2"/>
        <v>0</v>
      </c>
      <c r="F151" s="47">
        <v>47500.0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2.5" customHeight="1">
      <c r="A152" s="44">
        <v>49341.0</v>
      </c>
      <c r="B152" s="45">
        <f t="shared" si="14"/>
        <v>0</v>
      </c>
      <c r="C152" s="45">
        <f t="shared" si="1"/>
        <v>0</v>
      </c>
      <c r="D152" s="45">
        <f t="shared" si="5"/>
        <v>0</v>
      </c>
      <c r="E152" s="46">
        <f t="shared" si="2"/>
        <v>0</v>
      </c>
      <c r="F152" s="47">
        <v>47500.0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2.5" customHeight="1">
      <c r="A153" s="44">
        <v>49369.0</v>
      </c>
      <c r="B153" s="45">
        <f>if(E152&lt;=B152,E152, IF(ROUND(E152,1)=0,0,B152)*(1+$B$12))</f>
        <v>0</v>
      </c>
      <c r="C153" s="45">
        <f t="shared" si="1"/>
        <v>0</v>
      </c>
      <c r="D153" s="45">
        <f t="shared" si="5"/>
        <v>0</v>
      </c>
      <c r="E153" s="46">
        <f t="shared" si="2"/>
        <v>0</v>
      </c>
      <c r="F153" s="47">
        <v>47500.0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2.5" customHeight="1">
      <c r="A154" s="44">
        <v>49400.0</v>
      </c>
      <c r="B154" s="45">
        <f t="shared" ref="B154:B164" si="15">if(E153&lt;B153,E153,IF(ROUND(E153,1)=0,0,B153))</f>
        <v>0</v>
      </c>
      <c r="C154" s="45">
        <f t="shared" si="1"/>
        <v>0</v>
      </c>
      <c r="D154" s="45">
        <f t="shared" si="5"/>
        <v>0</v>
      </c>
      <c r="E154" s="46">
        <f t="shared" si="2"/>
        <v>0</v>
      </c>
      <c r="F154" s="47">
        <v>47500.0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2.5" customHeight="1">
      <c r="A155" s="44">
        <v>49430.0</v>
      </c>
      <c r="B155" s="45">
        <f t="shared" si="15"/>
        <v>0</v>
      </c>
      <c r="C155" s="45">
        <f t="shared" si="1"/>
        <v>0</v>
      </c>
      <c r="D155" s="45">
        <f t="shared" si="5"/>
        <v>0</v>
      </c>
      <c r="E155" s="46">
        <f t="shared" si="2"/>
        <v>0</v>
      </c>
      <c r="F155" s="47">
        <v>47500.0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2.5" customHeight="1">
      <c r="A156" s="44">
        <v>49461.0</v>
      </c>
      <c r="B156" s="45">
        <f t="shared" si="15"/>
        <v>0</v>
      </c>
      <c r="C156" s="45">
        <f t="shared" si="1"/>
        <v>0</v>
      </c>
      <c r="D156" s="45">
        <f t="shared" si="5"/>
        <v>0</v>
      </c>
      <c r="E156" s="46">
        <f t="shared" si="2"/>
        <v>0</v>
      </c>
      <c r="F156" s="47">
        <v>47500.0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2.5" customHeight="1">
      <c r="A157" s="44">
        <v>49491.0</v>
      </c>
      <c r="B157" s="45">
        <f t="shared" si="15"/>
        <v>0</v>
      </c>
      <c r="C157" s="45">
        <f t="shared" si="1"/>
        <v>0</v>
      </c>
      <c r="D157" s="45">
        <f t="shared" si="5"/>
        <v>0</v>
      </c>
      <c r="E157" s="46">
        <f t="shared" si="2"/>
        <v>0</v>
      </c>
      <c r="F157" s="47">
        <v>47500.0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2.5" customHeight="1">
      <c r="A158" s="44">
        <v>49522.0</v>
      </c>
      <c r="B158" s="45">
        <f t="shared" si="15"/>
        <v>0</v>
      </c>
      <c r="C158" s="45">
        <f t="shared" si="1"/>
        <v>0</v>
      </c>
      <c r="D158" s="45">
        <f t="shared" si="5"/>
        <v>0</v>
      </c>
      <c r="E158" s="46">
        <f t="shared" si="2"/>
        <v>0</v>
      </c>
      <c r="F158" s="47">
        <v>47500.0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2.5" customHeight="1">
      <c r="A159" s="44">
        <v>49553.0</v>
      </c>
      <c r="B159" s="45">
        <f t="shared" si="15"/>
        <v>0</v>
      </c>
      <c r="C159" s="45">
        <f t="shared" si="1"/>
        <v>0</v>
      </c>
      <c r="D159" s="45">
        <f t="shared" si="5"/>
        <v>0</v>
      </c>
      <c r="E159" s="46">
        <f t="shared" si="2"/>
        <v>0</v>
      </c>
      <c r="F159" s="47">
        <v>47500.0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2.5" customHeight="1">
      <c r="A160" s="44">
        <v>49583.0</v>
      </c>
      <c r="B160" s="45">
        <f t="shared" si="15"/>
        <v>0</v>
      </c>
      <c r="C160" s="45">
        <f t="shared" si="1"/>
        <v>0</v>
      </c>
      <c r="D160" s="45">
        <f t="shared" si="5"/>
        <v>0</v>
      </c>
      <c r="E160" s="46">
        <f t="shared" si="2"/>
        <v>0</v>
      </c>
      <c r="F160" s="47">
        <v>47500.0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2.5" customHeight="1">
      <c r="A161" s="44">
        <v>49614.0</v>
      </c>
      <c r="B161" s="45">
        <f t="shared" si="15"/>
        <v>0</v>
      </c>
      <c r="C161" s="45">
        <f t="shared" si="1"/>
        <v>0</v>
      </c>
      <c r="D161" s="45">
        <f t="shared" si="5"/>
        <v>0</v>
      </c>
      <c r="E161" s="46">
        <f t="shared" si="2"/>
        <v>0</v>
      </c>
      <c r="F161" s="47">
        <v>47500.0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2.5" customHeight="1">
      <c r="A162" s="44">
        <v>49644.0</v>
      </c>
      <c r="B162" s="45">
        <f t="shared" si="15"/>
        <v>0</v>
      </c>
      <c r="C162" s="45">
        <f t="shared" si="1"/>
        <v>0</v>
      </c>
      <c r="D162" s="45">
        <f t="shared" si="5"/>
        <v>0</v>
      </c>
      <c r="E162" s="46">
        <f t="shared" si="2"/>
        <v>0</v>
      </c>
      <c r="F162" s="47">
        <v>47500.0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2.5" customHeight="1">
      <c r="A163" s="44">
        <v>49675.0</v>
      </c>
      <c r="B163" s="45">
        <f t="shared" si="15"/>
        <v>0</v>
      </c>
      <c r="C163" s="45">
        <f t="shared" si="1"/>
        <v>0</v>
      </c>
      <c r="D163" s="45">
        <f t="shared" si="5"/>
        <v>0</v>
      </c>
      <c r="E163" s="46">
        <f t="shared" si="2"/>
        <v>0</v>
      </c>
      <c r="F163" s="47">
        <v>47500.0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2.5" customHeight="1">
      <c r="A164" s="44">
        <v>49706.0</v>
      </c>
      <c r="B164" s="45">
        <f t="shared" si="15"/>
        <v>0</v>
      </c>
      <c r="C164" s="45">
        <f t="shared" si="1"/>
        <v>0</v>
      </c>
      <c r="D164" s="45">
        <f t="shared" si="5"/>
        <v>0</v>
      </c>
      <c r="E164" s="46">
        <f t="shared" si="2"/>
        <v>0</v>
      </c>
      <c r="F164" s="47">
        <v>47500.0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2.5" customHeight="1">
      <c r="A165" s="44">
        <v>49735.0</v>
      </c>
      <c r="B165" s="45">
        <f>if(E164&lt;=B164,E164, IF(ROUND(E164,1)=0,0,B164)*(1+$B$12))</f>
        <v>0</v>
      </c>
      <c r="C165" s="45">
        <f t="shared" si="1"/>
        <v>0</v>
      </c>
      <c r="D165" s="45">
        <f t="shared" si="5"/>
        <v>0</v>
      </c>
      <c r="E165" s="46">
        <f t="shared" si="2"/>
        <v>0</v>
      </c>
      <c r="F165" s="47">
        <v>47500.0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2.5" customHeight="1">
      <c r="A166" s="44">
        <v>49766.0</v>
      </c>
      <c r="B166" s="45">
        <f t="shared" ref="B166:B176" si="16">if(E165&lt;B165,E165,IF(ROUND(E165,1)=0,0,B165))</f>
        <v>0</v>
      </c>
      <c r="C166" s="45">
        <f t="shared" si="1"/>
        <v>0</v>
      </c>
      <c r="D166" s="45">
        <f t="shared" si="5"/>
        <v>0</v>
      </c>
      <c r="E166" s="46">
        <f t="shared" si="2"/>
        <v>0</v>
      </c>
      <c r="F166" s="47">
        <v>47500.0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2.5" customHeight="1">
      <c r="A167" s="44">
        <v>49796.0</v>
      </c>
      <c r="B167" s="45">
        <f t="shared" si="16"/>
        <v>0</v>
      </c>
      <c r="C167" s="45">
        <f t="shared" si="1"/>
        <v>0</v>
      </c>
      <c r="D167" s="45">
        <f t="shared" si="5"/>
        <v>0</v>
      </c>
      <c r="E167" s="46">
        <f t="shared" si="2"/>
        <v>0</v>
      </c>
      <c r="F167" s="47">
        <v>47500.0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2.5" customHeight="1">
      <c r="A168" s="44">
        <v>49827.0</v>
      </c>
      <c r="B168" s="45">
        <f t="shared" si="16"/>
        <v>0</v>
      </c>
      <c r="C168" s="45">
        <f t="shared" si="1"/>
        <v>0</v>
      </c>
      <c r="D168" s="45">
        <f t="shared" si="5"/>
        <v>0</v>
      </c>
      <c r="E168" s="46">
        <f t="shared" si="2"/>
        <v>0</v>
      </c>
      <c r="F168" s="47">
        <v>47500.0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2.5" customHeight="1">
      <c r="A169" s="44">
        <v>49857.0</v>
      </c>
      <c r="B169" s="45">
        <f t="shared" si="16"/>
        <v>0</v>
      </c>
      <c r="C169" s="45">
        <f t="shared" si="1"/>
        <v>0</v>
      </c>
      <c r="D169" s="45">
        <f t="shared" si="5"/>
        <v>0</v>
      </c>
      <c r="E169" s="46">
        <f t="shared" si="2"/>
        <v>0</v>
      </c>
      <c r="F169" s="47">
        <v>47500.0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2.5" customHeight="1">
      <c r="A170" s="44">
        <v>49888.0</v>
      </c>
      <c r="B170" s="45">
        <f t="shared" si="16"/>
        <v>0</v>
      </c>
      <c r="C170" s="45">
        <f t="shared" si="1"/>
        <v>0</v>
      </c>
      <c r="D170" s="45">
        <f t="shared" si="5"/>
        <v>0</v>
      </c>
      <c r="E170" s="46">
        <f t="shared" si="2"/>
        <v>0</v>
      </c>
      <c r="F170" s="47">
        <v>47500.0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2.5" customHeight="1">
      <c r="A171" s="44">
        <v>49919.0</v>
      </c>
      <c r="B171" s="45">
        <f t="shared" si="16"/>
        <v>0</v>
      </c>
      <c r="C171" s="45">
        <f t="shared" si="1"/>
        <v>0</v>
      </c>
      <c r="D171" s="45">
        <f t="shared" si="5"/>
        <v>0</v>
      </c>
      <c r="E171" s="46">
        <f t="shared" si="2"/>
        <v>0</v>
      </c>
      <c r="F171" s="47">
        <v>47500.0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2.5" customHeight="1">
      <c r="A172" s="44">
        <v>49949.0</v>
      </c>
      <c r="B172" s="45">
        <f t="shared" si="16"/>
        <v>0</v>
      </c>
      <c r="C172" s="45">
        <f t="shared" si="1"/>
        <v>0</v>
      </c>
      <c r="D172" s="45">
        <f t="shared" si="5"/>
        <v>0</v>
      </c>
      <c r="E172" s="46">
        <f t="shared" si="2"/>
        <v>0</v>
      </c>
      <c r="F172" s="47">
        <v>47500.0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2.5" customHeight="1">
      <c r="A173" s="44">
        <v>49980.0</v>
      </c>
      <c r="B173" s="45">
        <f t="shared" si="16"/>
        <v>0</v>
      </c>
      <c r="C173" s="45">
        <f t="shared" si="1"/>
        <v>0</v>
      </c>
      <c r="D173" s="45">
        <f t="shared" si="5"/>
        <v>0</v>
      </c>
      <c r="E173" s="46">
        <f t="shared" si="2"/>
        <v>0</v>
      </c>
      <c r="F173" s="47">
        <v>47500.0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2.5" customHeight="1">
      <c r="A174" s="44">
        <v>50010.0</v>
      </c>
      <c r="B174" s="45">
        <f t="shared" si="16"/>
        <v>0</v>
      </c>
      <c r="C174" s="45">
        <f t="shared" si="1"/>
        <v>0</v>
      </c>
      <c r="D174" s="45">
        <f t="shared" si="5"/>
        <v>0</v>
      </c>
      <c r="E174" s="46">
        <f t="shared" si="2"/>
        <v>0</v>
      </c>
      <c r="F174" s="47">
        <v>47500.0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2.5" customHeight="1">
      <c r="A175" s="44">
        <v>50041.0</v>
      </c>
      <c r="B175" s="45">
        <f t="shared" si="16"/>
        <v>0</v>
      </c>
      <c r="C175" s="45">
        <f t="shared" si="1"/>
        <v>0</v>
      </c>
      <c r="D175" s="45">
        <f t="shared" si="5"/>
        <v>0</v>
      </c>
      <c r="E175" s="46">
        <f t="shared" si="2"/>
        <v>0</v>
      </c>
      <c r="F175" s="47">
        <v>47500.0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2.5" customHeight="1">
      <c r="A176" s="44">
        <v>50072.0</v>
      </c>
      <c r="B176" s="45">
        <f t="shared" si="16"/>
        <v>0</v>
      </c>
      <c r="C176" s="45">
        <f t="shared" si="1"/>
        <v>0</v>
      </c>
      <c r="D176" s="45">
        <f t="shared" si="5"/>
        <v>0</v>
      </c>
      <c r="E176" s="46">
        <f t="shared" si="2"/>
        <v>0</v>
      </c>
      <c r="F176" s="47">
        <v>47500.0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2.5" customHeight="1">
      <c r="A177" s="44">
        <v>50100.0</v>
      </c>
      <c r="B177" s="45">
        <f>if(E176&lt;=B176,E176, IF(ROUND(E176,1)=0,0,B176)*(1+$B$12))</f>
        <v>0</v>
      </c>
      <c r="C177" s="45">
        <f t="shared" si="1"/>
        <v>0</v>
      </c>
      <c r="D177" s="45">
        <f t="shared" si="5"/>
        <v>0</v>
      </c>
      <c r="E177" s="46">
        <f t="shared" si="2"/>
        <v>0</v>
      </c>
      <c r="F177" s="47">
        <v>47500.0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2.5" customHeight="1">
      <c r="A178" s="44">
        <v>50131.0</v>
      </c>
      <c r="B178" s="45">
        <f t="shared" ref="B178:B188" si="17">if(E177&lt;B177,E177,IF(ROUND(E177,1)=0,0,B177))</f>
        <v>0</v>
      </c>
      <c r="C178" s="45">
        <f t="shared" si="1"/>
        <v>0</v>
      </c>
      <c r="D178" s="45">
        <f t="shared" si="5"/>
        <v>0</v>
      </c>
      <c r="E178" s="46">
        <f t="shared" si="2"/>
        <v>0</v>
      </c>
      <c r="F178" s="47">
        <v>47500.0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2.5" customHeight="1">
      <c r="A179" s="44">
        <v>50161.0</v>
      </c>
      <c r="B179" s="45">
        <f t="shared" si="17"/>
        <v>0</v>
      </c>
      <c r="C179" s="45">
        <f t="shared" si="1"/>
        <v>0</v>
      </c>
      <c r="D179" s="45">
        <f t="shared" si="5"/>
        <v>0</v>
      </c>
      <c r="E179" s="46">
        <f t="shared" si="2"/>
        <v>0</v>
      </c>
      <c r="F179" s="47">
        <v>47500.0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2.5" customHeight="1">
      <c r="A180" s="44">
        <v>50192.0</v>
      </c>
      <c r="B180" s="45">
        <f t="shared" si="17"/>
        <v>0</v>
      </c>
      <c r="C180" s="45">
        <f t="shared" si="1"/>
        <v>0</v>
      </c>
      <c r="D180" s="45">
        <f t="shared" si="5"/>
        <v>0</v>
      </c>
      <c r="E180" s="46">
        <f t="shared" si="2"/>
        <v>0</v>
      </c>
      <c r="F180" s="47">
        <v>47500.0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2.5" customHeight="1">
      <c r="A181" s="44">
        <v>50222.0</v>
      </c>
      <c r="B181" s="45">
        <f t="shared" si="17"/>
        <v>0</v>
      </c>
      <c r="C181" s="45">
        <f t="shared" si="1"/>
        <v>0</v>
      </c>
      <c r="D181" s="45">
        <f t="shared" si="5"/>
        <v>0</v>
      </c>
      <c r="E181" s="46">
        <f t="shared" si="2"/>
        <v>0</v>
      </c>
      <c r="F181" s="47">
        <v>47500.0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2.5" customHeight="1">
      <c r="A182" s="44">
        <v>50253.0</v>
      </c>
      <c r="B182" s="45">
        <f t="shared" si="17"/>
        <v>0</v>
      </c>
      <c r="C182" s="45">
        <f t="shared" si="1"/>
        <v>0</v>
      </c>
      <c r="D182" s="45">
        <f t="shared" si="5"/>
        <v>0</v>
      </c>
      <c r="E182" s="46">
        <f t="shared" si="2"/>
        <v>0</v>
      </c>
      <c r="F182" s="47">
        <v>47500.0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2.5" customHeight="1">
      <c r="A183" s="44">
        <v>50284.0</v>
      </c>
      <c r="B183" s="45">
        <f t="shared" si="17"/>
        <v>0</v>
      </c>
      <c r="C183" s="45">
        <f t="shared" si="1"/>
        <v>0</v>
      </c>
      <c r="D183" s="45">
        <f t="shared" si="5"/>
        <v>0</v>
      </c>
      <c r="E183" s="46">
        <f t="shared" si="2"/>
        <v>0</v>
      </c>
      <c r="F183" s="47">
        <v>47500.0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2.5" customHeight="1">
      <c r="A184" s="44">
        <v>50314.0</v>
      </c>
      <c r="B184" s="45">
        <f t="shared" si="17"/>
        <v>0</v>
      </c>
      <c r="C184" s="45">
        <f t="shared" si="1"/>
        <v>0</v>
      </c>
      <c r="D184" s="45">
        <f t="shared" si="5"/>
        <v>0</v>
      </c>
      <c r="E184" s="46">
        <f t="shared" si="2"/>
        <v>0</v>
      </c>
      <c r="F184" s="47">
        <v>47500.0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2.5" customHeight="1">
      <c r="A185" s="44">
        <v>50345.0</v>
      </c>
      <c r="B185" s="45">
        <f t="shared" si="17"/>
        <v>0</v>
      </c>
      <c r="C185" s="45">
        <f t="shared" si="1"/>
        <v>0</v>
      </c>
      <c r="D185" s="45">
        <f t="shared" si="5"/>
        <v>0</v>
      </c>
      <c r="E185" s="46">
        <f t="shared" si="2"/>
        <v>0</v>
      </c>
      <c r="F185" s="47">
        <v>47500.0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2.5" customHeight="1">
      <c r="A186" s="44">
        <v>50375.0</v>
      </c>
      <c r="B186" s="45">
        <f t="shared" si="17"/>
        <v>0</v>
      </c>
      <c r="C186" s="45">
        <f t="shared" si="1"/>
        <v>0</v>
      </c>
      <c r="D186" s="45">
        <f t="shared" si="5"/>
        <v>0</v>
      </c>
      <c r="E186" s="46">
        <f t="shared" si="2"/>
        <v>0</v>
      </c>
      <c r="F186" s="47">
        <v>47500.0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2.5" customHeight="1">
      <c r="A187" s="44">
        <v>50406.0</v>
      </c>
      <c r="B187" s="45">
        <f t="shared" si="17"/>
        <v>0</v>
      </c>
      <c r="C187" s="45">
        <f t="shared" si="1"/>
        <v>0</v>
      </c>
      <c r="D187" s="45">
        <f t="shared" si="5"/>
        <v>0</v>
      </c>
      <c r="E187" s="46">
        <f t="shared" si="2"/>
        <v>0</v>
      </c>
      <c r="F187" s="47">
        <v>47500.0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2.5" customHeight="1">
      <c r="A188" s="44">
        <v>50437.0</v>
      </c>
      <c r="B188" s="45">
        <f t="shared" si="17"/>
        <v>0</v>
      </c>
      <c r="C188" s="45">
        <f t="shared" si="1"/>
        <v>0</v>
      </c>
      <c r="D188" s="45">
        <f t="shared" si="5"/>
        <v>0</v>
      </c>
      <c r="E188" s="46">
        <f t="shared" si="2"/>
        <v>0</v>
      </c>
      <c r="F188" s="47">
        <v>47500.0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2.5" customHeight="1">
      <c r="A189" s="44">
        <v>50465.0</v>
      </c>
      <c r="B189" s="45">
        <f>if(E188&lt;=B188,E188, IF(ROUND(E188,1)=0,0,B188)*(1+$B$12))</f>
        <v>0</v>
      </c>
      <c r="C189" s="45">
        <f t="shared" si="1"/>
        <v>0</v>
      </c>
      <c r="D189" s="45">
        <f t="shared" si="5"/>
        <v>0</v>
      </c>
      <c r="E189" s="46">
        <f t="shared" si="2"/>
        <v>0</v>
      </c>
      <c r="F189" s="47">
        <v>47500.0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2.5" customHeight="1">
      <c r="A190" s="44">
        <v>50496.0</v>
      </c>
      <c r="B190" s="45">
        <f t="shared" ref="B190:B200" si="18">if(E189&lt;B189,E189,IF(ROUND(E189,1)=0,0,B189))</f>
        <v>0</v>
      </c>
      <c r="C190" s="45">
        <f t="shared" si="1"/>
        <v>0</v>
      </c>
      <c r="D190" s="45">
        <f t="shared" si="5"/>
        <v>0</v>
      </c>
      <c r="E190" s="46">
        <f t="shared" si="2"/>
        <v>0</v>
      </c>
      <c r="F190" s="47">
        <v>47500.0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2.5" customHeight="1">
      <c r="A191" s="44">
        <v>50526.0</v>
      </c>
      <c r="B191" s="45">
        <f t="shared" si="18"/>
        <v>0</v>
      </c>
      <c r="C191" s="45">
        <f t="shared" si="1"/>
        <v>0</v>
      </c>
      <c r="D191" s="45">
        <f t="shared" si="5"/>
        <v>0</v>
      </c>
      <c r="E191" s="46">
        <f t="shared" si="2"/>
        <v>0</v>
      </c>
      <c r="F191" s="47">
        <v>47500.0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2.5" customHeight="1">
      <c r="A192" s="44">
        <v>50557.0</v>
      </c>
      <c r="B192" s="45">
        <f t="shared" si="18"/>
        <v>0</v>
      </c>
      <c r="C192" s="45">
        <f t="shared" si="1"/>
        <v>0</v>
      </c>
      <c r="D192" s="45">
        <f t="shared" si="5"/>
        <v>0</v>
      </c>
      <c r="E192" s="46">
        <f t="shared" si="2"/>
        <v>0</v>
      </c>
      <c r="F192" s="47">
        <v>47500.0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2.5" customHeight="1">
      <c r="A193" s="44">
        <v>50587.0</v>
      </c>
      <c r="B193" s="45">
        <f t="shared" si="18"/>
        <v>0</v>
      </c>
      <c r="C193" s="45">
        <f t="shared" si="1"/>
        <v>0</v>
      </c>
      <c r="D193" s="45">
        <f t="shared" si="5"/>
        <v>0</v>
      </c>
      <c r="E193" s="46">
        <f t="shared" si="2"/>
        <v>0</v>
      </c>
      <c r="F193" s="47">
        <v>47500.0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2.5" customHeight="1">
      <c r="A194" s="44">
        <v>50618.0</v>
      </c>
      <c r="B194" s="45">
        <f t="shared" si="18"/>
        <v>0</v>
      </c>
      <c r="C194" s="45">
        <f t="shared" si="1"/>
        <v>0</v>
      </c>
      <c r="D194" s="45">
        <f t="shared" si="5"/>
        <v>0</v>
      </c>
      <c r="E194" s="46">
        <f t="shared" si="2"/>
        <v>0</v>
      </c>
      <c r="F194" s="47">
        <v>47500.0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2.5" customHeight="1">
      <c r="A195" s="44">
        <v>50649.0</v>
      </c>
      <c r="B195" s="45">
        <f t="shared" si="18"/>
        <v>0</v>
      </c>
      <c r="C195" s="45">
        <f t="shared" si="1"/>
        <v>0</v>
      </c>
      <c r="D195" s="45">
        <f t="shared" si="5"/>
        <v>0</v>
      </c>
      <c r="E195" s="46">
        <f t="shared" si="2"/>
        <v>0</v>
      </c>
      <c r="F195" s="47">
        <v>47500.0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2.5" customHeight="1">
      <c r="A196" s="44">
        <v>50679.0</v>
      </c>
      <c r="B196" s="45">
        <f t="shared" si="18"/>
        <v>0</v>
      </c>
      <c r="C196" s="45">
        <f t="shared" si="1"/>
        <v>0</v>
      </c>
      <c r="D196" s="45">
        <f t="shared" si="5"/>
        <v>0</v>
      </c>
      <c r="E196" s="46">
        <f t="shared" si="2"/>
        <v>0</v>
      </c>
      <c r="F196" s="47">
        <v>47500.0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2.5" customHeight="1">
      <c r="A197" s="44">
        <v>50710.0</v>
      </c>
      <c r="B197" s="45">
        <f t="shared" si="18"/>
        <v>0</v>
      </c>
      <c r="C197" s="45">
        <f t="shared" si="1"/>
        <v>0</v>
      </c>
      <c r="D197" s="45">
        <f t="shared" si="5"/>
        <v>0</v>
      </c>
      <c r="E197" s="46">
        <f t="shared" si="2"/>
        <v>0</v>
      </c>
      <c r="F197" s="47">
        <v>47500.0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2.5" customHeight="1">
      <c r="A198" s="44">
        <v>50740.0</v>
      </c>
      <c r="B198" s="45">
        <f t="shared" si="18"/>
        <v>0</v>
      </c>
      <c r="C198" s="45">
        <f t="shared" si="1"/>
        <v>0</v>
      </c>
      <c r="D198" s="45">
        <f t="shared" si="5"/>
        <v>0</v>
      </c>
      <c r="E198" s="46">
        <f t="shared" si="2"/>
        <v>0</v>
      </c>
      <c r="F198" s="47">
        <v>47500.0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2.5" customHeight="1">
      <c r="A199" s="44">
        <v>50771.0</v>
      </c>
      <c r="B199" s="45">
        <f t="shared" si="18"/>
        <v>0</v>
      </c>
      <c r="C199" s="45">
        <f t="shared" si="1"/>
        <v>0</v>
      </c>
      <c r="D199" s="45">
        <f t="shared" si="5"/>
        <v>0</v>
      </c>
      <c r="E199" s="46">
        <f t="shared" si="2"/>
        <v>0</v>
      </c>
      <c r="F199" s="47">
        <v>47500.0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2.5" customHeight="1">
      <c r="A200" s="44">
        <v>50802.0</v>
      </c>
      <c r="B200" s="45">
        <f t="shared" si="18"/>
        <v>0</v>
      </c>
      <c r="C200" s="45">
        <f t="shared" si="1"/>
        <v>0</v>
      </c>
      <c r="D200" s="45">
        <f t="shared" si="5"/>
        <v>0</v>
      </c>
      <c r="E200" s="46">
        <f t="shared" si="2"/>
        <v>0</v>
      </c>
      <c r="F200" s="47">
        <v>47500.0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2.5" customHeight="1">
      <c r="A201" s="44">
        <v>50830.0</v>
      </c>
      <c r="B201" s="45">
        <f>if(E200&lt;=B200,E200, IF(ROUND(E200,1)=0,0,B200)*(1+$B$12))</f>
        <v>0</v>
      </c>
      <c r="C201" s="45">
        <f t="shared" si="1"/>
        <v>0</v>
      </c>
      <c r="D201" s="45">
        <f t="shared" si="5"/>
        <v>0</v>
      </c>
      <c r="E201" s="46">
        <f t="shared" si="2"/>
        <v>0</v>
      </c>
      <c r="F201" s="47">
        <v>47500.0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2.5" customHeight="1">
      <c r="A202" s="44">
        <v>50861.0</v>
      </c>
      <c r="B202" s="45">
        <f t="shared" ref="B202:B212" si="19">if(E201&lt;B201,E201,IF(ROUND(E201,1)=0,0,B201))</f>
        <v>0</v>
      </c>
      <c r="C202" s="45">
        <f t="shared" si="1"/>
        <v>0</v>
      </c>
      <c r="D202" s="45">
        <f t="shared" si="5"/>
        <v>0</v>
      </c>
      <c r="E202" s="46">
        <f t="shared" si="2"/>
        <v>0</v>
      </c>
      <c r="F202" s="47">
        <v>47500.0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2.5" customHeight="1">
      <c r="A203" s="44">
        <v>50891.0</v>
      </c>
      <c r="B203" s="45">
        <f t="shared" si="19"/>
        <v>0</v>
      </c>
      <c r="C203" s="45">
        <f t="shared" si="1"/>
        <v>0</v>
      </c>
      <c r="D203" s="45">
        <f t="shared" si="5"/>
        <v>0</v>
      </c>
      <c r="E203" s="46">
        <f t="shared" si="2"/>
        <v>0</v>
      </c>
      <c r="F203" s="47">
        <v>47500.0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2.5" customHeight="1">
      <c r="A204" s="44">
        <v>50922.0</v>
      </c>
      <c r="B204" s="45">
        <f t="shared" si="19"/>
        <v>0</v>
      </c>
      <c r="C204" s="45">
        <f t="shared" si="1"/>
        <v>0</v>
      </c>
      <c r="D204" s="45">
        <f t="shared" si="5"/>
        <v>0</v>
      </c>
      <c r="E204" s="46">
        <f t="shared" si="2"/>
        <v>0</v>
      </c>
      <c r="F204" s="47">
        <v>47500.0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2.5" customHeight="1">
      <c r="A205" s="44">
        <v>50952.0</v>
      </c>
      <c r="B205" s="45">
        <f t="shared" si="19"/>
        <v>0</v>
      </c>
      <c r="C205" s="45">
        <f t="shared" si="1"/>
        <v>0</v>
      </c>
      <c r="D205" s="45">
        <f t="shared" si="5"/>
        <v>0</v>
      </c>
      <c r="E205" s="46">
        <f t="shared" si="2"/>
        <v>0</v>
      </c>
      <c r="F205" s="47">
        <v>47500.0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2.5" customHeight="1">
      <c r="A206" s="44">
        <v>50983.0</v>
      </c>
      <c r="B206" s="45">
        <f t="shared" si="19"/>
        <v>0</v>
      </c>
      <c r="C206" s="45">
        <f t="shared" si="1"/>
        <v>0</v>
      </c>
      <c r="D206" s="45">
        <f t="shared" si="5"/>
        <v>0</v>
      </c>
      <c r="E206" s="46">
        <f t="shared" si="2"/>
        <v>0</v>
      </c>
      <c r="F206" s="47">
        <v>47500.0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2.5" customHeight="1">
      <c r="A207" s="44">
        <v>51014.0</v>
      </c>
      <c r="B207" s="45">
        <f t="shared" si="19"/>
        <v>0</v>
      </c>
      <c r="C207" s="45">
        <f t="shared" si="1"/>
        <v>0</v>
      </c>
      <c r="D207" s="45">
        <f t="shared" si="5"/>
        <v>0</v>
      </c>
      <c r="E207" s="46">
        <f t="shared" si="2"/>
        <v>0</v>
      </c>
      <c r="F207" s="47">
        <v>47500.0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2.5" customHeight="1">
      <c r="A208" s="44">
        <v>51044.0</v>
      </c>
      <c r="B208" s="45">
        <f t="shared" si="19"/>
        <v>0</v>
      </c>
      <c r="C208" s="45">
        <f t="shared" si="1"/>
        <v>0</v>
      </c>
      <c r="D208" s="45">
        <f t="shared" si="5"/>
        <v>0</v>
      </c>
      <c r="E208" s="46">
        <f t="shared" si="2"/>
        <v>0</v>
      </c>
      <c r="F208" s="47">
        <v>47500.0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2.5" customHeight="1">
      <c r="A209" s="44">
        <v>51075.0</v>
      </c>
      <c r="B209" s="45">
        <f t="shared" si="19"/>
        <v>0</v>
      </c>
      <c r="C209" s="45">
        <f t="shared" si="1"/>
        <v>0</v>
      </c>
      <c r="D209" s="45">
        <f t="shared" si="5"/>
        <v>0</v>
      </c>
      <c r="E209" s="46">
        <f t="shared" si="2"/>
        <v>0</v>
      </c>
      <c r="F209" s="47">
        <v>47500.0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2.5" customHeight="1">
      <c r="A210" s="44">
        <v>51105.0</v>
      </c>
      <c r="B210" s="45">
        <f t="shared" si="19"/>
        <v>0</v>
      </c>
      <c r="C210" s="45">
        <f t="shared" si="1"/>
        <v>0</v>
      </c>
      <c r="D210" s="45">
        <f t="shared" si="5"/>
        <v>0</v>
      </c>
      <c r="E210" s="46">
        <f t="shared" si="2"/>
        <v>0</v>
      </c>
      <c r="F210" s="47">
        <v>47500.0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2.5" customHeight="1">
      <c r="A211" s="44">
        <v>51136.0</v>
      </c>
      <c r="B211" s="45">
        <f t="shared" si="19"/>
        <v>0</v>
      </c>
      <c r="C211" s="45">
        <f t="shared" si="1"/>
        <v>0</v>
      </c>
      <c r="D211" s="45">
        <f t="shared" si="5"/>
        <v>0</v>
      </c>
      <c r="E211" s="46">
        <f t="shared" si="2"/>
        <v>0</v>
      </c>
      <c r="F211" s="47">
        <v>47500.0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2.5" customHeight="1">
      <c r="A212" s="44">
        <v>51167.0</v>
      </c>
      <c r="B212" s="45">
        <f t="shared" si="19"/>
        <v>0</v>
      </c>
      <c r="C212" s="45">
        <f t="shared" si="1"/>
        <v>0</v>
      </c>
      <c r="D212" s="45">
        <f t="shared" si="5"/>
        <v>0</v>
      </c>
      <c r="E212" s="46">
        <f t="shared" si="2"/>
        <v>0</v>
      </c>
      <c r="F212" s="47">
        <v>47500.0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2.5" customHeight="1">
      <c r="A213" s="44">
        <v>51196.0</v>
      </c>
      <c r="B213" s="45">
        <f>if(E212&lt;=B212,E212, IF(ROUND(E212,1)=0,0,B212)*(1+$B$12))</f>
        <v>0</v>
      </c>
      <c r="C213" s="45">
        <f t="shared" si="1"/>
        <v>0</v>
      </c>
      <c r="D213" s="45">
        <f t="shared" si="5"/>
        <v>0</v>
      </c>
      <c r="E213" s="46">
        <f t="shared" si="2"/>
        <v>0</v>
      </c>
      <c r="F213" s="47">
        <v>47500.0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2.5" customHeight="1">
      <c r="A214" s="44">
        <v>51227.0</v>
      </c>
      <c r="B214" s="45">
        <f t="shared" ref="B214:B224" si="20">if(E213&lt;B213,E213,IF(ROUND(E213,1)=0,0,B213))</f>
        <v>0</v>
      </c>
      <c r="C214" s="45">
        <f t="shared" si="1"/>
        <v>0</v>
      </c>
      <c r="D214" s="45">
        <f t="shared" si="5"/>
        <v>0</v>
      </c>
      <c r="E214" s="46">
        <f t="shared" si="2"/>
        <v>0</v>
      </c>
      <c r="F214" s="47">
        <v>47500.0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2.5" customHeight="1">
      <c r="A215" s="44">
        <v>51257.0</v>
      </c>
      <c r="B215" s="45">
        <f t="shared" si="20"/>
        <v>0</v>
      </c>
      <c r="C215" s="45">
        <f t="shared" si="1"/>
        <v>0</v>
      </c>
      <c r="D215" s="45">
        <f t="shared" si="5"/>
        <v>0</v>
      </c>
      <c r="E215" s="46">
        <f t="shared" si="2"/>
        <v>0</v>
      </c>
      <c r="F215" s="47">
        <v>47500.0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2.5" customHeight="1">
      <c r="A216" s="44">
        <v>51288.0</v>
      </c>
      <c r="B216" s="45">
        <f t="shared" si="20"/>
        <v>0</v>
      </c>
      <c r="C216" s="45">
        <f t="shared" si="1"/>
        <v>0</v>
      </c>
      <c r="D216" s="45">
        <f t="shared" si="5"/>
        <v>0</v>
      </c>
      <c r="E216" s="46">
        <f t="shared" si="2"/>
        <v>0</v>
      </c>
      <c r="F216" s="47">
        <v>47500.0</v>
      </c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2.5" customHeight="1">
      <c r="A217" s="44">
        <v>51318.0</v>
      </c>
      <c r="B217" s="45">
        <f t="shared" si="20"/>
        <v>0</v>
      </c>
      <c r="C217" s="45">
        <f t="shared" si="1"/>
        <v>0</v>
      </c>
      <c r="D217" s="45">
        <f t="shared" si="5"/>
        <v>0</v>
      </c>
      <c r="E217" s="46">
        <f t="shared" si="2"/>
        <v>0</v>
      </c>
      <c r="F217" s="47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2.5" customHeight="1">
      <c r="A218" s="44">
        <v>51349.0</v>
      </c>
      <c r="B218" s="45">
        <f t="shared" si="20"/>
        <v>0</v>
      </c>
      <c r="C218" s="45">
        <f t="shared" si="1"/>
        <v>0</v>
      </c>
      <c r="D218" s="45">
        <f t="shared" si="5"/>
        <v>0</v>
      </c>
      <c r="E218" s="46">
        <f t="shared" si="2"/>
        <v>0</v>
      </c>
      <c r="F218" s="47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2.5" customHeight="1">
      <c r="A219" s="44">
        <v>51380.0</v>
      </c>
      <c r="B219" s="45">
        <f t="shared" si="20"/>
        <v>0</v>
      </c>
      <c r="C219" s="45">
        <f t="shared" si="1"/>
        <v>0</v>
      </c>
      <c r="D219" s="45">
        <f t="shared" si="5"/>
        <v>0</v>
      </c>
      <c r="E219" s="46">
        <f t="shared" si="2"/>
        <v>0</v>
      </c>
      <c r="F219" s="47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2.5" customHeight="1">
      <c r="A220" s="44">
        <v>51410.0</v>
      </c>
      <c r="B220" s="45">
        <f t="shared" si="20"/>
        <v>0</v>
      </c>
      <c r="C220" s="45">
        <f t="shared" si="1"/>
        <v>0</v>
      </c>
      <c r="D220" s="45">
        <f t="shared" si="5"/>
        <v>0</v>
      </c>
      <c r="E220" s="46">
        <f t="shared" si="2"/>
        <v>0</v>
      </c>
      <c r="F220" s="47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2.5" customHeight="1">
      <c r="A221" s="44">
        <v>51441.0</v>
      </c>
      <c r="B221" s="45">
        <f t="shared" si="20"/>
        <v>0</v>
      </c>
      <c r="C221" s="45">
        <f t="shared" si="1"/>
        <v>0</v>
      </c>
      <c r="D221" s="45">
        <f t="shared" si="5"/>
        <v>0</v>
      </c>
      <c r="E221" s="46">
        <f t="shared" si="2"/>
        <v>0</v>
      </c>
      <c r="F221" s="47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2.5" customHeight="1">
      <c r="A222" s="44">
        <v>51471.0</v>
      </c>
      <c r="B222" s="45">
        <f t="shared" si="20"/>
        <v>0</v>
      </c>
      <c r="C222" s="45">
        <f t="shared" si="1"/>
        <v>0</v>
      </c>
      <c r="D222" s="45">
        <f t="shared" si="5"/>
        <v>0</v>
      </c>
      <c r="E222" s="46">
        <f t="shared" si="2"/>
        <v>0</v>
      </c>
      <c r="F222" s="47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2.5" customHeight="1">
      <c r="A223" s="44">
        <v>51502.0</v>
      </c>
      <c r="B223" s="45">
        <f t="shared" si="20"/>
        <v>0</v>
      </c>
      <c r="C223" s="45">
        <f t="shared" si="1"/>
        <v>0</v>
      </c>
      <c r="D223" s="45">
        <f t="shared" si="5"/>
        <v>0</v>
      </c>
      <c r="E223" s="46">
        <f t="shared" si="2"/>
        <v>0</v>
      </c>
      <c r="F223" s="47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2.5" customHeight="1">
      <c r="A224" s="44">
        <v>51533.0</v>
      </c>
      <c r="B224" s="45">
        <f t="shared" si="20"/>
        <v>0</v>
      </c>
      <c r="C224" s="45">
        <f t="shared" si="1"/>
        <v>0</v>
      </c>
      <c r="D224" s="45">
        <f t="shared" si="5"/>
        <v>0</v>
      </c>
      <c r="E224" s="46">
        <f t="shared" si="2"/>
        <v>0</v>
      </c>
      <c r="F224" s="47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2.5" customHeight="1">
      <c r="A225" s="44">
        <v>51561.0</v>
      </c>
      <c r="B225" s="45">
        <f>if(E224&lt;=B224,E224, IF(ROUND(E224,1)=0,0,B224)*(1+$B$12))</f>
        <v>0</v>
      </c>
      <c r="C225" s="45">
        <f t="shared" si="1"/>
        <v>0</v>
      </c>
      <c r="D225" s="45">
        <f t="shared" si="5"/>
        <v>0</v>
      </c>
      <c r="E225" s="46">
        <f t="shared" si="2"/>
        <v>0</v>
      </c>
      <c r="F225" s="47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2.5" customHeight="1">
      <c r="A226" s="44">
        <v>51592.0</v>
      </c>
      <c r="B226" s="45">
        <f t="shared" ref="B226:B236" si="21">if(E225&lt;B225,E225,IF(ROUND(E225,1)=0,0,B225))</f>
        <v>0</v>
      </c>
      <c r="C226" s="45">
        <f t="shared" si="1"/>
        <v>0</v>
      </c>
      <c r="D226" s="45">
        <f t="shared" si="5"/>
        <v>0</v>
      </c>
      <c r="E226" s="46">
        <f t="shared" si="2"/>
        <v>0</v>
      </c>
      <c r="F226" s="47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2.5" customHeight="1">
      <c r="A227" s="44">
        <v>51622.0</v>
      </c>
      <c r="B227" s="45">
        <f t="shared" si="21"/>
        <v>0</v>
      </c>
      <c r="C227" s="45">
        <f t="shared" si="1"/>
        <v>0</v>
      </c>
      <c r="D227" s="45">
        <f t="shared" si="5"/>
        <v>0</v>
      </c>
      <c r="E227" s="46">
        <f t="shared" si="2"/>
        <v>0</v>
      </c>
      <c r="F227" s="47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2.5" customHeight="1">
      <c r="A228" s="44">
        <v>51653.0</v>
      </c>
      <c r="B228" s="45">
        <f t="shared" si="21"/>
        <v>0</v>
      </c>
      <c r="C228" s="45">
        <f t="shared" si="1"/>
        <v>0</v>
      </c>
      <c r="D228" s="45">
        <f t="shared" si="5"/>
        <v>0</v>
      </c>
      <c r="E228" s="46">
        <f t="shared" si="2"/>
        <v>0</v>
      </c>
      <c r="F228" s="47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2.5" customHeight="1">
      <c r="A229" s="44">
        <v>51683.0</v>
      </c>
      <c r="B229" s="45">
        <f t="shared" si="21"/>
        <v>0</v>
      </c>
      <c r="C229" s="45">
        <f t="shared" si="1"/>
        <v>0</v>
      </c>
      <c r="D229" s="45">
        <f t="shared" si="5"/>
        <v>0</v>
      </c>
      <c r="E229" s="46">
        <f t="shared" si="2"/>
        <v>0</v>
      </c>
      <c r="F229" s="47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2.5" customHeight="1">
      <c r="A230" s="44">
        <v>51714.0</v>
      </c>
      <c r="B230" s="45">
        <f t="shared" si="21"/>
        <v>0</v>
      </c>
      <c r="C230" s="45">
        <f t="shared" si="1"/>
        <v>0</v>
      </c>
      <c r="D230" s="45">
        <f t="shared" si="5"/>
        <v>0</v>
      </c>
      <c r="E230" s="46">
        <f t="shared" si="2"/>
        <v>0</v>
      </c>
      <c r="F230" s="47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2.5" customHeight="1">
      <c r="A231" s="44">
        <v>51745.0</v>
      </c>
      <c r="B231" s="45">
        <f t="shared" si="21"/>
        <v>0</v>
      </c>
      <c r="C231" s="45">
        <f t="shared" si="1"/>
        <v>0</v>
      </c>
      <c r="D231" s="45">
        <f t="shared" si="5"/>
        <v>0</v>
      </c>
      <c r="E231" s="46">
        <f t="shared" si="2"/>
        <v>0</v>
      </c>
      <c r="F231" s="47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2.5" customHeight="1">
      <c r="A232" s="44">
        <v>51775.0</v>
      </c>
      <c r="B232" s="45">
        <f t="shared" si="21"/>
        <v>0</v>
      </c>
      <c r="C232" s="45">
        <f t="shared" si="1"/>
        <v>0</v>
      </c>
      <c r="D232" s="45">
        <f t="shared" si="5"/>
        <v>0</v>
      </c>
      <c r="E232" s="46">
        <f t="shared" si="2"/>
        <v>0</v>
      </c>
      <c r="F232" s="47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2.5" customHeight="1">
      <c r="A233" s="44">
        <v>51806.0</v>
      </c>
      <c r="B233" s="45">
        <f t="shared" si="21"/>
        <v>0</v>
      </c>
      <c r="C233" s="45">
        <f t="shared" si="1"/>
        <v>0</v>
      </c>
      <c r="D233" s="45">
        <f t="shared" si="5"/>
        <v>0</v>
      </c>
      <c r="E233" s="46">
        <f t="shared" si="2"/>
        <v>0</v>
      </c>
      <c r="F233" s="47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2.5" customHeight="1">
      <c r="A234" s="44">
        <v>51836.0</v>
      </c>
      <c r="B234" s="45">
        <f t="shared" si="21"/>
        <v>0</v>
      </c>
      <c r="C234" s="45">
        <f t="shared" si="1"/>
        <v>0</v>
      </c>
      <c r="D234" s="45">
        <f t="shared" si="5"/>
        <v>0</v>
      </c>
      <c r="E234" s="46">
        <f t="shared" si="2"/>
        <v>0</v>
      </c>
      <c r="F234" s="47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2.5" customHeight="1">
      <c r="A235" s="44">
        <v>51867.0</v>
      </c>
      <c r="B235" s="45">
        <f t="shared" si="21"/>
        <v>0</v>
      </c>
      <c r="C235" s="45">
        <f t="shared" si="1"/>
        <v>0</v>
      </c>
      <c r="D235" s="45">
        <f t="shared" si="5"/>
        <v>0</v>
      </c>
      <c r="E235" s="46">
        <f t="shared" si="2"/>
        <v>0</v>
      </c>
      <c r="F235" s="47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2.5" customHeight="1">
      <c r="A236" s="44">
        <v>51898.0</v>
      </c>
      <c r="B236" s="45">
        <f t="shared" si="21"/>
        <v>0</v>
      </c>
      <c r="C236" s="45">
        <f t="shared" si="1"/>
        <v>0</v>
      </c>
      <c r="D236" s="45">
        <f t="shared" si="5"/>
        <v>0</v>
      </c>
      <c r="E236" s="46">
        <f t="shared" si="2"/>
        <v>0</v>
      </c>
      <c r="F236" s="47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2.5" customHeight="1">
      <c r="A237" s="44">
        <v>51926.0</v>
      </c>
      <c r="B237" s="45">
        <f>if(E236&lt;=B236,E236, IF(ROUND(E236,1)=0,0,B236)*(1+$B$12))</f>
        <v>0</v>
      </c>
      <c r="C237" s="45">
        <f t="shared" si="1"/>
        <v>0</v>
      </c>
      <c r="D237" s="45">
        <f t="shared" si="5"/>
        <v>0</v>
      </c>
      <c r="E237" s="46">
        <f t="shared" si="2"/>
        <v>0</v>
      </c>
      <c r="F237" s="47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2.5" customHeight="1">
      <c r="A238" s="44">
        <v>51957.0</v>
      </c>
      <c r="B238" s="45">
        <f t="shared" ref="B238:B248" si="22">if(E237&lt;B237,E237,IF(ROUND(E237,1)=0,0,B237))</f>
        <v>0</v>
      </c>
      <c r="C238" s="45">
        <f t="shared" si="1"/>
        <v>0</v>
      </c>
      <c r="D238" s="45">
        <f t="shared" si="5"/>
        <v>0</v>
      </c>
      <c r="E238" s="46">
        <f t="shared" si="2"/>
        <v>0</v>
      </c>
      <c r="F238" s="47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2.5" customHeight="1">
      <c r="A239" s="44">
        <v>51987.0</v>
      </c>
      <c r="B239" s="45">
        <f t="shared" si="22"/>
        <v>0</v>
      </c>
      <c r="C239" s="45">
        <f t="shared" si="1"/>
        <v>0</v>
      </c>
      <c r="D239" s="45">
        <f t="shared" si="5"/>
        <v>0</v>
      </c>
      <c r="E239" s="46">
        <f t="shared" si="2"/>
        <v>0</v>
      </c>
      <c r="F239" s="47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2.5" customHeight="1">
      <c r="A240" s="44">
        <v>52018.0</v>
      </c>
      <c r="B240" s="45">
        <f t="shared" si="22"/>
        <v>0</v>
      </c>
      <c r="C240" s="45">
        <f t="shared" si="1"/>
        <v>0</v>
      </c>
      <c r="D240" s="45">
        <f t="shared" si="5"/>
        <v>0</v>
      </c>
      <c r="E240" s="46">
        <f t="shared" si="2"/>
        <v>0</v>
      </c>
      <c r="F240" s="47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2.5" customHeight="1">
      <c r="A241" s="44">
        <v>52048.0</v>
      </c>
      <c r="B241" s="45">
        <f t="shared" si="22"/>
        <v>0</v>
      </c>
      <c r="C241" s="45">
        <f t="shared" si="1"/>
        <v>0</v>
      </c>
      <c r="D241" s="45">
        <f t="shared" si="5"/>
        <v>0</v>
      </c>
      <c r="E241" s="46">
        <f t="shared" si="2"/>
        <v>0</v>
      </c>
      <c r="F241" s="47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2.5" customHeight="1">
      <c r="A242" s="44">
        <v>52079.0</v>
      </c>
      <c r="B242" s="45">
        <f t="shared" si="22"/>
        <v>0</v>
      </c>
      <c r="C242" s="45">
        <f t="shared" si="1"/>
        <v>0</v>
      </c>
      <c r="D242" s="45">
        <f t="shared" si="5"/>
        <v>0</v>
      </c>
      <c r="E242" s="46">
        <f t="shared" si="2"/>
        <v>0</v>
      </c>
      <c r="F242" s="47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2.5" customHeight="1">
      <c r="A243" s="44">
        <v>52110.0</v>
      </c>
      <c r="B243" s="45">
        <f t="shared" si="22"/>
        <v>0</v>
      </c>
      <c r="C243" s="45">
        <f t="shared" si="1"/>
        <v>0</v>
      </c>
      <c r="D243" s="45">
        <f t="shared" si="5"/>
        <v>0</v>
      </c>
      <c r="E243" s="46">
        <f t="shared" si="2"/>
        <v>0</v>
      </c>
      <c r="F243" s="47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2.5" customHeight="1">
      <c r="A244" s="44">
        <v>52140.0</v>
      </c>
      <c r="B244" s="45">
        <f t="shared" si="22"/>
        <v>0</v>
      </c>
      <c r="C244" s="45">
        <f t="shared" si="1"/>
        <v>0</v>
      </c>
      <c r="D244" s="45">
        <f t="shared" si="5"/>
        <v>0</v>
      </c>
      <c r="E244" s="46">
        <f t="shared" si="2"/>
        <v>0</v>
      </c>
      <c r="F244" s="47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2.5" customHeight="1">
      <c r="A245" s="44">
        <v>52171.0</v>
      </c>
      <c r="B245" s="45">
        <f t="shared" si="22"/>
        <v>0</v>
      </c>
      <c r="C245" s="45">
        <f t="shared" si="1"/>
        <v>0</v>
      </c>
      <c r="D245" s="45">
        <f t="shared" si="5"/>
        <v>0</v>
      </c>
      <c r="E245" s="46">
        <f t="shared" si="2"/>
        <v>0</v>
      </c>
      <c r="F245" s="47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2.5" customHeight="1">
      <c r="A246" s="44">
        <v>52201.0</v>
      </c>
      <c r="B246" s="45">
        <f t="shared" si="22"/>
        <v>0</v>
      </c>
      <c r="C246" s="45">
        <f t="shared" si="1"/>
        <v>0</v>
      </c>
      <c r="D246" s="45">
        <f t="shared" si="5"/>
        <v>0</v>
      </c>
      <c r="E246" s="46">
        <f t="shared" si="2"/>
        <v>0</v>
      </c>
      <c r="F246" s="47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2.5" customHeight="1">
      <c r="A247" s="44">
        <v>52232.0</v>
      </c>
      <c r="B247" s="45">
        <f t="shared" si="22"/>
        <v>0</v>
      </c>
      <c r="C247" s="45">
        <f t="shared" si="1"/>
        <v>0</v>
      </c>
      <c r="D247" s="45">
        <f t="shared" si="5"/>
        <v>0</v>
      </c>
      <c r="E247" s="46">
        <f t="shared" si="2"/>
        <v>0</v>
      </c>
      <c r="F247" s="47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2.5" customHeight="1">
      <c r="A248" s="44">
        <v>52263.0</v>
      </c>
      <c r="B248" s="45">
        <f t="shared" si="22"/>
        <v>0</v>
      </c>
      <c r="C248" s="45">
        <f t="shared" si="1"/>
        <v>0</v>
      </c>
      <c r="D248" s="45">
        <f t="shared" si="5"/>
        <v>0</v>
      </c>
      <c r="E248" s="46">
        <f t="shared" si="2"/>
        <v>0</v>
      </c>
      <c r="F248" s="47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2.5" customHeight="1">
      <c r="A249" s="44">
        <v>52291.0</v>
      </c>
      <c r="B249" s="45">
        <f>if(E248&lt;=B248,E248, IF(ROUND(E248,1)=0,0,B248)*(1+$B$12))</f>
        <v>0</v>
      </c>
      <c r="C249" s="45">
        <f t="shared" si="1"/>
        <v>0</v>
      </c>
      <c r="D249" s="45">
        <f t="shared" si="5"/>
        <v>0</v>
      </c>
      <c r="E249" s="46">
        <f t="shared" si="2"/>
        <v>0</v>
      </c>
      <c r="F249" s="47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2.5" customHeight="1">
      <c r="A250" s="44">
        <v>52322.0</v>
      </c>
      <c r="B250" s="45">
        <f t="shared" ref="B250:B260" si="23">if(E249&lt;B249,E249,IF(ROUND(E249,1)=0,0,B249))</f>
        <v>0</v>
      </c>
      <c r="C250" s="45">
        <f t="shared" si="1"/>
        <v>0</v>
      </c>
      <c r="D250" s="45">
        <f t="shared" si="5"/>
        <v>0</v>
      </c>
      <c r="E250" s="46">
        <f t="shared" si="2"/>
        <v>0</v>
      </c>
      <c r="F250" s="47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2.5" customHeight="1">
      <c r="A251" s="44">
        <v>52352.0</v>
      </c>
      <c r="B251" s="45">
        <f t="shared" si="23"/>
        <v>0</v>
      </c>
      <c r="C251" s="45">
        <f t="shared" si="1"/>
        <v>0</v>
      </c>
      <c r="D251" s="45">
        <f t="shared" si="5"/>
        <v>0</v>
      </c>
      <c r="E251" s="46">
        <f t="shared" si="2"/>
        <v>0</v>
      </c>
      <c r="F251" s="47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2.5" customHeight="1">
      <c r="A252" s="44">
        <v>52383.0</v>
      </c>
      <c r="B252" s="45">
        <f t="shared" si="23"/>
        <v>0</v>
      </c>
      <c r="C252" s="45">
        <f t="shared" si="1"/>
        <v>0</v>
      </c>
      <c r="D252" s="45">
        <f t="shared" si="5"/>
        <v>0</v>
      </c>
      <c r="E252" s="46">
        <f t="shared" si="2"/>
        <v>0</v>
      </c>
      <c r="F252" s="47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2.5" customHeight="1">
      <c r="A253" s="44">
        <v>52413.0</v>
      </c>
      <c r="B253" s="45">
        <f t="shared" si="23"/>
        <v>0</v>
      </c>
      <c r="C253" s="45">
        <f t="shared" si="1"/>
        <v>0</v>
      </c>
      <c r="D253" s="45">
        <f t="shared" si="5"/>
        <v>0</v>
      </c>
      <c r="E253" s="46">
        <f t="shared" si="2"/>
        <v>0</v>
      </c>
      <c r="F253" s="47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2.5" customHeight="1">
      <c r="A254" s="44">
        <v>52444.0</v>
      </c>
      <c r="B254" s="45">
        <f t="shared" si="23"/>
        <v>0</v>
      </c>
      <c r="C254" s="45">
        <f t="shared" si="1"/>
        <v>0</v>
      </c>
      <c r="D254" s="45">
        <f t="shared" si="5"/>
        <v>0</v>
      </c>
      <c r="E254" s="46">
        <f t="shared" si="2"/>
        <v>0</v>
      </c>
      <c r="F254" s="47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2.5" customHeight="1">
      <c r="A255" s="44">
        <v>52475.0</v>
      </c>
      <c r="B255" s="45">
        <f t="shared" si="23"/>
        <v>0</v>
      </c>
      <c r="C255" s="45">
        <f t="shared" si="1"/>
        <v>0</v>
      </c>
      <c r="D255" s="45">
        <f t="shared" si="5"/>
        <v>0</v>
      </c>
      <c r="E255" s="46">
        <f t="shared" si="2"/>
        <v>0</v>
      </c>
      <c r="F255" s="47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2.5" customHeight="1">
      <c r="A256" s="44">
        <v>52505.0</v>
      </c>
      <c r="B256" s="45">
        <f t="shared" si="23"/>
        <v>0</v>
      </c>
      <c r="C256" s="45">
        <f t="shared" si="1"/>
        <v>0</v>
      </c>
      <c r="D256" s="45">
        <f t="shared" si="5"/>
        <v>0</v>
      </c>
      <c r="E256" s="46">
        <f t="shared" si="2"/>
        <v>0</v>
      </c>
      <c r="F256" s="47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2.5" customHeight="1">
      <c r="A257" s="44">
        <v>52536.0</v>
      </c>
      <c r="B257" s="45">
        <f t="shared" si="23"/>
        <v>0</v>
      </c>
      <c r="C257" s="45">
        <f t="shared" si="1"/>
        <v>0</v>
      </c>
      <c r="D257" s="45">
        <f t="shared" si="5"/>
        <v>0</v>
      </c>
      <c r="E257" s="46">
        <f t="shared" si="2"/>
        <v>0</v>
      </c>
      <c r="F257" s="47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2.5" customHeight="1">
      <c r="A258" s="44">
        <v>52566.0</v>
      </c>
      <c r="B258" s="45">
        <f t="shared" si="23"/>
        <v>0</v>
      </c>
      <c r="C258" s="45">
        <f t="shared" si="1"/>
        <v>0</v>
      </c>
      <c r="D258" s="45">
        <f t="shared" si="5"/>
        <v>0</v>
      </c>
      <c r="E258" s="46">
        <f t="shared" si="2"/>
        <v>0</v>
      </c>
      <c r="F258" s="47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2.5" customHeight="1">
      <c r="A259" s="44">
        <v>52597.0</v>
      </c>
      <c r="B259" s="45">
        <f t="shared" si="23"/>
        <v>0</v>
      </c>
      <c r="C259" s="45">
        <f t="shared" si="1"/>
        <v>0</v>
      </c>
      <c r="D259" s="45">
        <f t="shared" si="5"/>
        <v>0</v>
      </c>
      <c r="E259" s="46">
        <f t="shared" si="2"/>
        <v>0</v>
      </c>
      <c r="F259" s="47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2.5" customHeight="1">
      <c r="A260" s="44">
        <v>52628.0</v>
      </c>
      <c r="B260" s="45">
        <f t="shared" si="23"/>
        <v>0</v>
      </c>
      <c r="C260" s="45">
        <f t="shared" si="1"/>
        <v>0</v>
      </c>
      <c r="D260" s="45">
        <f t="shared" si="5"/>
        <v>0</v>
      </c>
      <c r="E260" s="46">
        <f t="shared" si="2"/>
        <v>0</v>
      </c>
      <c r="F260" s="47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2.5" customHeight="1">
      <c r="A261" s="44">
        <v>52657.0</v>
      </c>
      <c r="B261" s="45">
        <f>if(E260&lt;=B260,E260, IF(ROUND(E260,1)=0,0,B260)*(1+$B$12))</f>
        <v>0</v>
      </c>
      <c r="C261" s="45">
        <f t="shared" si="1"/>
        <v>0</v>
      </c>
      <c r="D261" s="45">
        <f t="shared" si="5"/>
        <v>0</v>
      </c>
      <c r="E261" s="46">
        <f t="shared" si="2"/>
        <v>0</v>
      </c>
      <c r="F261" s="47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2.5" customHeight="1">
      <c r="A262" s="44">
        <v>52688.0</v>
      </c>
      <c r="B262" s="45">
        <f t="shared" ref="B262:B272" si="24">if(E261&lt;B261,E261,IF(ROUND(E261,1)=0,0,B261))</f>
        <v>0</v>
      </c>
      <c r="C262" s="45">
        <f t="shared" si="1"/>
        <v>0</v>
      </c>
      <c r="D262" s="45">
        <f t="shared" si="5"/>
        <v>0</v>
      </c>
      <c r="E262" s="46">
        <f t="shared" si="2"/>
        <v>0</v>
      </c>
      <c r="F262" s="47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2.5" customHeight="1">
      <c r="A263" s="44">
        <v>52718.0</v>
      </c>
      <c r="B263" s="45">
        <f t="shared" si="24"/>
        <v>0</v>
      </c>
      <c r="C263" s="45">
        <f t="shared" si="1"/>
        <v>0</v>
      </c>
      <c r="D263" s="45">
        <f t="shared" si="5"/>
        <v>0</v>
      </c>
      <c r="E263" s="46">
        <f t="shared" si="2"/>
        <v>0</v>
      </c>
      <c r="F263" s="47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2.5" customHeight="1">
      <c r="A264" s="44">
        <v>52749.0</v>
      </c>
      <c r="B264" s="45">
        <f t="shared" si="24"/>
        <v>0</v>
      </c>
      <c r="C264" s="45">
        <f t="shared" si="1"/>
        <v>0</v>
      </c>
      <c r="D264" s="45">
        <f t="shared" si="5"/>
        <v>0</v>
      </c>
      <c r="E264" s="46">
        <f t="shared" si="2"/>
        <v>0</v>
      </c>
      <c r="F264" s="47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2.5" customHeight="1">
      <c r="A265" s="44">
        <v>52779.0</v>
      </c>
      <c r="B265" s="45">
        <f t="shared" si="24"/>
        <v>0</v>
      </c>
      <c r="C265" s="45">
        <f t="shared" si="1"/>
        <v>0</v>
      </c>
      <c r="D265" s="45">
        <f t="shared" si="5"/>
        <v>0</v>
      </c>
      <c r="E265" s="46">
        <f t="shared" si="2"/>
        <v>0</v>
      </c>
      <c r="F265" s="47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2.5" customHeight="1">
      <c r="A266" s="44">
        <v>52810.0</v>
      </c>
      <c r="B266" s="45">
        <f t="shared" si="24"/>
        <v>0</v>
      </c>
      <c r="C266" s="45">
        <f t="shared" si="1"/>
        <v>0</v>
      </c>
      <c r="D266" s="45">
        <f t="shared" si="5"/>
        <v>0</v>
      </c>
      <c r="E266" s="46">
        <f t="shared" si="2"/>
        <v>0</v>
      </c>
      <c r="F266" s="47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2.5" customHeight="1">
      <c r="A267" s="44">
        <v>52841.0</v>
      </c>
      <c r="B267" s="45">
        <f t="shared" si="24"/>
        <v>0</v>
      </c>
      <c r="C267" s="45">
        <f t="shared" si="1"/>
        <v>0</v>
      </c>
      <c r="D267" s="45">
        <f t="shared" si="5"/>
        <v>0</v>
      </c>
      <c r="E267" s="46">
        <f t="shared" si="2"/>
        <v>0</v>
      </c>
      <c r="F267" s="47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2.5" customHeight="1">
      <c r="A268" s="44">
        <v>52871.0</v>
      </c>
      <c r="B268" s="45">
        <f t="shared" si="24"/>
        <v>0</v>
      </c>
      <c r="C268" s="45">
        <f t="shared" si="1"/>
        <v>0</v>
      </c>
      <c r="D268" s="45">
        <f t="shared" si="5"/>
        <v>0</v>
      </c>
      <c r="E268" s="46">
        <f t="shared" si="2"/>
        <v>0</v>
      </c>
      <c r="F268" s="47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2.5" customHeight="1">
      <c r="A269" s="44">
        <v>52902.0</v>
      </c>
      <c r="B269" s="45">
        <f t="shared" si="24"/>
        <v>0</v>
      </c>
      <c r="C269" s="45">
        <f t="shared" si="1"/>
        <v>0</v>
      </c>
      <c r="D269" s="45">
        <f t="shared" si="5"/>
        <v>0</v>
      </c>
      <c r="E269" s="46">
        <f t="shared" si="2"/>
        <v>0</v>
      </c>
      <c r="F269" s="47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2.5" customHeight="1">
      <c r="A270" s="44">
        <v>52932.0</v>
      </c>
      <c r="B270" s="45">
        <f t="shared" si="24"/>
        <v>0</v>
      </c>
      <c r="C270" s="45">
        <f t="shared" si="1"/>
        <v>0</v>
      </c>
      <c r="D270" s="45">
        <f t="shared" si="5"/>
        <v>0</v>
      </c>
      <c r="E270" s="46">
        <f t="shared" si="2"/>
        <v>0</v>
      </c>
      <c r="F270" s="47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2.5" customHeight="1">
      <c r="A271" s="44">
        <v>52963.0</v>
      </c>
      <c r="B271" s="45">
        <f t="shared" si="24"/>
        <v>0</v>
      </c>
      <c r="C271" s="45">
        <f t="shared" si="1"/>
        <v>0</v>
      </c>
      <c r="D271" s="45">
        <f t="shared" si="5"/>
        <v>0</v>
      </c>
      <c r="E271" s="46">
        <f t="shared" si="2"/>
        <v>0</v>
      </c>
      <c r="F271" s="47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2.5" customHeight="1">
      <c r="A272" s="44">
        <v>52994.0</v>
      </c>
      <c r="B272" s="45">
        <f t="shared" si="24"/>
        <v>0</v>
      </c>
      <c r="C272" s="45">
        <f t="shared" si="1"/>
        <v>0</v>
      </c>
      <c r="D272" s="45">
        <f t="shared" si="5"/>
        <v>0</v>
      </c>
      <c r="E272" s="46">
        <f t="shared" si="2"/>
        <v>0</v>
      </c>
      <c r="F272" s="47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2.5" customHeight="1">
      <c r="A273" s="44">
        <v>53022.0</v>
      </c>
      <c r="B273" s="45">
        <f>if(E272&lt;=B272,E272, IF(ROUND(E272,1)=0,0,B272)*(1+$B$12))</f>
        <v>0</v>
      </c>
      <c r="C273" s="45">
        <f t="shared" si="1"/>
        <v>0</v>
      </c>
      <c r="D273" s="45">
        <f t="shared" si="5"/>
        <v>0</v>
      </c>
      <c r="E273" s="46">
        <f t="shared" si="2"/>
        <v>0</v>
      </c>
      <c r="F273" s="47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2.5" customHeight="1">
      <c r="A274" s="44">
        <v>53053.0</v>
      </c>
      <c r="B274" s="45">
        <f t="shared" ref="B274:B284" si="25">if(E273&lt;B273,E273,IF(ROUND(E273,1)=0,0,B273))</f>
        <v>0</v>
      </c>
      <c r="C274" s="45">
        <f t="shared" si="1"/>
        <v>0</v>
      </c>
      <c r="D274" s="45">
        <f t="shared" si="5"/>
        <v>0</v>
      </c>
      <c r="E274" s="46">
        <f t="shared" si="2"/>
        <v>0</v>
      </c>
      <c r="F274" s="47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2.5" customHeight="1">
      <c r="A275" s="44">
        <v>53083.0</v>
      </c>
      <c r="B275" s="45">
        <f t="shared" si="25"/>
        <v>0</v>
      </c>
      <c r="C275" s="45">
        <f t="shared" si="1"/>
        <v>0</v>
      </c>
      <c r="D275" s="45">
        <f t="shared" si="5"/>
        <v>0</v>
      </c>
      <c r="E275" s="46">
        <f t="shared" si="2"/>
        <v>0</v>
      </c>
      <c r="F275" s="47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2.5" customHeight="1">
      <c r="A276" s="44">
        <v>53114.0</v>
      </c>
      <c r="B276" s="45">
        <f t="shared" si="25"/>
        <v>0</v>
      </c>
      <c r="C276" s="45">
        <f t="shared" si="1"/>
        <v>0</v>
      </c>
      <c r="D276" s="45">
        <f t="shared" si="5"/>
        <v>0</v>
      </c>
      <c r="E276" s="46">
        <f t="shared" si="2"/>
        <v>0</v>
      </c>
      <c r="F276" s="47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2.5" customHeight="1">
      <c r="A277" s="44">
        <v>53144.0</v>
      </c>
      <c r="B277" s="45">
        <f t="shared" si="25"/>
        <v>0</v>
      </c>
      <c r="C277" s="45">
        <f t="shared" si="1"/>
        <v>0</v>
      </c>
      <c r="D277" s="45">
        <f t="shared" si="5"/>
        <v>0</v>
      </c>
      <c r="E277" s="46">
        <f t="shared" si="2"/>
        <v>0</v>
      </c>
      <c r="F277" s="47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2.5" customHeight="1">
      <c r="A278" s="44">
        <v>53175.0</v>
      </c>
      <c r="B278" s="45">
        <f t="shared" si="25"/>
        <v>0</v>
      </c>
      <c r="C278" s="45">
        <f t="shared" si="1"/>
        <v>0</v>
      </c>
      <c r="D278" s="45">
        <f t="shared" si="5"/>
        <v>0</v>
      </c>
      <c r="E278" s="46">
        <f t="shared" si="2"/>
        <v>0</v>
      </c>
      <c r="F278" s="47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2.5" customHeight="1">
      <c r="A279" s="44">
        <v>53206.0</v>
      </c>
      <c r="B279" s="45">
        <f t="shared" si="25"/>
        <v>0</v>
      </c>
      <c r="C279" s="45">
        <f t="shared" si="1"/>
        <v>0</v>
      </c>
      <c r="D279" s="45">
        <f t="shared" si="5"/>
        <v>0</v>
      </c>
      <c r="E279" s="46">
        <f t="shared" si="2"/>
        <v>0</v>
      </c>
      <c r="F279" s="47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2.5" customHeight="1">
      <c r="A280" s="44">
        <v>53236.0</v>
      </c>
      <c r="B280" s="45">
        <f t="shared" si="25"/>
        <v>0</v>
      </c>
      <c r="C280" s="45">
        <f t="shared" si="1"/>
        <v>0</v>
      </c>
      <c r="D280" s="45">
        <f t="shared" si="5"/>
        <v>0</v>
      </c>
      <c r="E280" s="46">
        <f t="shared" si="2"/>
        <v>0</v>
      </c>
      <c r="F280" s="47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2.5" customHeight="1">
      <c r="A281" s="44">
        <v>53267.0</v>
      </c>
      <c r="B281" s="45">
        <f t="shared" si="25"/>
        <v>0</v>
      </c>
      <c r="C281" s="45">
        <f t="shared" si="1"/>
        <v>0</v>
      </c>
      <c r="D281" s="45">
        <f t="shared" si="5"/>
        <v>0</v>
      </c>
      <c r="E281" s="46">
        <f t="shared" si="2"/>
        <v>0</v>
      </c>
      <c r="F281" s="47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2.5" customHeight="1">
      <c r="A282" s="44">
        <v>53297.0</v>
      </c>
      <c r="B282" s="45">
        <f t="shared" si="25"/>
        <v>0</v>
      </c>
      <c r="C282" s="45">
        <f t="shared" si="1"/>
        <v>0</v>
      </c>
      <c r="D282" s="45">
        <f t="shared" si="5"/>
        <v>0</v>
      </c>
      <c r="E282" s="46">
        <f t="shared" si="2"/>
        <v>0</v>
      </c>
      <c r="F282" s="47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2.5" customHeight="1">
      <c r="A283" s="44">
        <v>53328.0</v>
      </c>
      <c r="B283" s="45">
        <f t="shared" si="25"/>
        <v>0</v>
      </c>
      <c r="C283" s="45">
        <f t="shared" si="1"/>
        <v>0</v>
      </c>
      <c r="D283" s="45">
        <f t="shared" si="5"/>
        <v>0</v>
      </c>
      <c r="E283" s="46">
        <f t="shared" si="2"/>
        <v>0</v>
      </c>
      <c r="F283" s="47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2.5" customHeight="1">
      <c r="A284" s="44">
        <v>53359.0</v>
      </c>
      <c r="B284" s="45">
        <f t="shared" si="25"/>
        <v>0</v>
      </c>
      <c r="C284" s="45">
        <f t="shared" si="1"/>
        <v>0</v>
      </c>
      <c r="D284" s="45">
        <f t="shared" si="5"/>
        <v>0</v>
      </c>
      <c r="E284" s="46">
        <f t="shared" si="2"/>
        <v>0</v>
      </c>
      <c r="F284" s="47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2.5" customHeight="1">
      <c r="A285" s="44">
        <v>53387.0</v>
      </c>
      <c r="B285" s="45">
        <f>if(E284&lt;=B284,E284, IF(ROUND(E284,1)=0,0,B284)*(1+$B$12))</f>
        <v>0</v>
      </c>
      <c r="C285" s="45">
        <f t="shared" si="1"/>
        <v>0</v>
      </c>
      <c r="D285" s="45">
        <f t="shared" si="5"/>
        <v>0</v>
      </c>
      <c r="E285" s="46">
        <f t="shared" si="2"/>
        <v>0</v>
      </c>
      <c r="F285" s="47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2.5" customHeight="1">
      <c r="A286" s="44">
        <v>53418.0</v>
      </c>
      <c r="B286" s="45">
        <f t="shared" ref="B286:B296" si="26">if(E285&lt;B285,E285,IF(ROUND(E285,1)=0,0,B285))</f>
        <v>0</v>
      </c>
      <c r="C286" s="45">
        <f t="shared" si="1"/>
        <v>0</v>
      </c>
      <c r="D286" s="45">
        <f t="shared" si="5"/>
        <v>0</v>
      </c>
      <c r="E286" s="46">
        <f t="shared" si="2"/>
        <v>0</v>
      </c>
      <c r="F286" s="47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2.5" customHeight="1">
      <c r="A287" s="44">
        <v>53448.0</v>
      </c>
      <c r="B287" s="45">
        <f t="shared" si="26"/>
        <v>0</v>
      </c>
      <c r="C287" s="45">
        <f t="shared" si="1"/>
        <v>0</v>
      </c>
      <c r="D287" s="45">
        <f t="shared" si="5"/>
        <v>0</v>
      </c>
      <c r="E287" s="46">
        <f t="shared" si="2"/>
        <v>0</v>
      </c>
      <c r="F287" s="47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2.5" customHeight="1">
      <c r="A288" s="44">
        <v>53479.0</v>
      </c>
      <c r="B288" s="45">
        <f t="shared" si="26"/>
        <v>0</v>
      </c>
      <c r="C288" s="45">
        <f t="shared" si="1"/>
        <v>0</v>
      </c>
      <c r="D288" s="45">
        <f t="shared" si="5"/>
        <v>0</v>
      </c>
      <c r="E288" s="46">
        <f t="shared" si="2"/>
        <v>0</v>
      </c>
      <c r="F288" s="47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2.5" customHeight="1">
      <c r="A289" s="44">
        <v>53509.0</v>
      </c>
      <c r="B289" s="45">
        <f t="shared" si="26"/>
        <v>0</v>
      </c>
      <c r="C289" s="45">
        <f t="shared" si="1"/>
        <v>0</v>
      </c>
      <c r="D289" s="45">
        <f t="shared" si="5"/>
        <v>0</v>
      </c>
      <c r="E289" s="46">
        <f t="shared" si="2"/>
        <v>0</v>
      </c>
      <c r="F289" s="47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2.5" customHeight="1">
      <c r="A290" s="44">
        <v>53540.0</v>
      </c>
      <c r="B290" s="45">
        <f t="shared" si="26"/>
        <v>0</v>
      </c>
      <c r="C290" s="45">
        <f t="shared" si="1"/>
        <v>0</v>
      </c>
      <c r="D290" s="45">
        <f t="shared" si="5"/>
        <v>0</v>
      </c>
      <c r="E290" s="46">
        <f t="shared" si="2"/>
        <v>0</v>
      </c>
      <c r="F290" s="47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2.5" customHeight="1">
      <c r="A291" s="44">
        <v>53571.0</v>
      </c>
      <c r="B291" s="45">
        <f t="shared" si="26"/>
        <v>0</v>
      </c>
      <c r="C291" s="45">
        <f t="shared" si="1"/>
        <v>0</v>
      </c>
      <c r="D291" s="45">
        <f t="shared" si="5"/>
        <v>0</v>
      </c>
      <c r="E291" s="46">
        <f t="shared" si="2"/>
        <v>0</v>
      </c>
      <c r="F291" s="47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2.5" customHeight="1">
      <c r="A292" s="44">
        <v>53601.0</v>
      </c>
      <c r="B292" s="45">
        <f t="shared" si="26"/>
        <v>0</v>
      </c>
      <c r="C292" s="45">
        <f t="shared" si="1"/>
        <v>0</v>
      </c>
      <c r="D292" s="45">
        <f t="shared" si="5"/>
        <v>0</v>
      </c>
      <c r="E292" s="46">
        <f t="shared" si="2"/>
        <v>0</v>
      </c>
      <c r="F292" s="47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2.5" customHeight="1">
      <c r="A293" s="44">
        <v>53632.0</v>
      </c>
      <c r="B293" s="45">
        <f t="shared" si="26"/>
        <v>0</v>
      </c>
      <c r="C293" s="45">
        <f t="shared" si="1"/>
        <v>0</v>
      </c>
      <c r="D293" s="45">
        <f t="shared" si="5"/>
        <v>0</v>
      </c>
      <c r="E293" s="46">
        <f t="shared" si="2"/>
        <v>0</v>
      </c>
      <c r="F293" s="47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2.5" customHeight="1">
      <c r="A294" s="44">
        <v>53662.0</v>
      </c>
      <c r="B294" s="45">
        <f t="shared" si="26"/>
        <v>0</v>
      </c>
      <c r="C294" s="45">
        <f t="shared" si="1"/>
        <v>0</v>
      </c>
      <c r="D294" s="45">
        <f t="shared" si="5"/>
        <v>0</v>
      </c>
      <c r="E294" s="46">
        <f t="shared" si="2"/>
        <v>0</v>
      </c>
      <c r="F294" s="47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2.5" customHeight="1">
      <c r="A295" s="44">
        <v>53693.0</v>
      </c>
      <c r="B295" s="45">
        <f t="shared" si="26"/>
        <v>0</v>
      </c>
      <c r="C295" s="45">
        <f t="shared" si="1"/>
        <v>0</v>
      </c>
      <c r="D295" s="45">
        <f t="shared" si="5"/>
        <v>0</v>
      </c>
      <c r="E295" s="46">
        <f t="shared" si="2"/>
        <v>0</v>
      </c>
      <c r="F295" s="47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2.5" customHeight="1">
      <c r="A296" s="44">
        <v>53724.0</v>
      </c>
      <c r="B296" s="45">
        <f t="shared" si="26"/>
        <v>0</v>
      </c>
      <c r="C296" s="45">
        <f t="shared" si="1"/>
        <v>0</v>
      </c>
      <c r="D296" s="45">
        <f t="shared" si="5"/>
        <v>0</v>
      </c>
      <c r="E296" s="46">
        <f t="shared" si="2"/>
        <v>0</v>
      </c>
      <c r="F296" s="47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2.5" customHeight="1">
      <c r="A297" s="44">
        <v>53752.0</v>
      </c>
      <c r="B297" s="45">
        <f>if(E296&lt;=B296,E296, IF(ROUND(E296,1)=0,0,B296)*(1+$B$12))</f>
        <v>0</v>
      </c>
      <c r="C297" s="45">
        <f t="shared" si="1"/>
        <v>0</v>
      </c>
      <c r="D297" s="45">
        <f t="shared" si="5"/>
        <v>0</v>
      </c>
      <c r="E297" s="46">
        <f t="shared" si="2"/>
        <v>0</v>
      </c>
      <c r="F297" s="47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2.5" customHeight="1">
      <c r="A298" s="44">
        <v>53783.0</v>
      </c>
      <c r="B298" s="45">
        <f t="shared" ref="B298:B308" si="27">if(E297&lt;B297,E297,IF(ROUND(E297,1)=0,0,B297))</f>
        <v>0</v>
      </c>
      <c r="C298" s="45">
        <f t="shared" si="1"/>
        <v>0</v>
      </c>
      <c r="D298" s="45">
        <f t="shared" si="5"/>
        <v>0</v>
      </c>
      <c r="E298" s="46">
        <f t="shared" si="2"/>
        <v>0</v>
      </c>
      <c r="F298" s="47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2.5" customHeight="1">
      <c r="A299" s="44">
        <v>53813.0</v>
      </c>
      <c r="B299" s="45">
        <f t="shared" si="27"/>
        <v>0</v>
      </c>
      <c r="C299" s="45">
        <f t="shared" si="1"/>
        <v>0</v>
      </c>
      <c r="D299" s="45">
        <f t="shared" si="5"/>
        <v>0</v>
      </c>
      <c r="E299" s="46">
        <f t="shared" si="2"/>
        <v>0</v>
      </c>
      <c r="F299" s="47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2.5" customHeight="1">
      <c r="A300" s="44">
        <v>53844.0</v>
      </c>
      <c r="B300" s="45">
        <f t="shared" si="27"/>
        <v>0</v>
      </c>
      <c r="C300" s="45">
        <f t="shared" si="1"/>
        <v>0</v>
      </c>
      <c r="D300" s="45">
        <f t="shared" si="5"/>
        <v>0</v>
      </c>
      <c r="E300" s="46">
        <f t="shared" si="2"/>
        <v>0</v>
      </c>
      <c r="F300" s="47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2.5" customHeight="1">
      <c r="A301" s="44">
        <v>53874.0</v>
      </c>
      <c r="B301" s="45">
        <f t="shared" si="27"/>
        <v>0</v>
      </c>
      <c r="C301" s="45">
        <f t="shared" si="1"/>
        <v>0</v>
      </c>
      <c r="D301" s="45">
        <f t="shared" si="5"/>
        <v>0</v>
      </c>
      <c r="E301" s="46">
        <f t="shared" si="2"/>
        <v>0</v>
      </c>
      <c r="F301" s="47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2.5" customHeight="1">
      <c r="A302" s="44">
        <v>53905.0</v>
      </c>
      <c r="B302" s="45">
        <f t="shared" si="27"/>
        <v>0</v>
      </c>
      <c r="C302" s="45">
        <f t="shared" si="1"/>
        <v>0</v>
      </c>
      <c r="D302" s="45">
        <f t="shared" si="5"/>
        <v>0</v>
      </c>
      <c r="E302" s="46">
        <f t="shared" si="2"/>
        <v>0</v>
      </c>
      <c r="F302" s="47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2.5" customHeight="1">
      <c r="A303" s="44">
        <v>53936.0</v>
      </c>
      <c r="B303" s="45">
        <f t="shared" si="27"/>
        <v>0</v>
      </c>
      <c r="C303" s="45">
        <f t="shared" si="1"/>
        <v>0</v>
      </c>
      <c r="D303" s="45">
        <f t="shared" si="5"/>
        <v>0</v>
      </c>
      <c r="E303" s="46">
        <f t="shared" si="2"/>
        <v>0</v>
      </c>
      <c r="F303" s="47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2.5" customHeight="1">
      <c r="A304" s="44">
        <v>53966.0</v>
      </c>
      <c r="B304" s="45">
        <f t="shared" si="27"/>
        <v>0</v>
      </c>
      <c r="C304" s="45">
        <f t="shared" si="1"/>
        <v>0</v>
      </c>
      <c r="D304" s="45">
        <f t="shared" si="5"/>
        <v>0</v>
      </c>
      <c r="E304" s="46">
        <f t="shared" si="2"/>
        <v>0</v>
      </c>
      <c r="F304" s="47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2.5" customHeight="1">
      <c r="A305" s="44">
        <v>53997.0</v>
      </c>
      <c r="B305" s="45">
        <f t="shared" si="27"/>
        <v>0</v>
      </c>
      <c r="C305" s="45">
        <f t="shared" si="1"/>
        <v>0</v>
      </c>
      <c r="D305" s="45">
        <f t="shared" si="5"/>
        <v>0</v>
      </c>
      <c r="E305" s="46">
        <f t="shared" si="2"/>
        <v>0</v>
      </c>
      <c r="F305" s="47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2.5" customHeight="1">
      <c r="A306" s="44">
        <v>54027.0</v>
      </c>
      <c r="B306" s="45">
        <f t="shared" si="27"/>
        <v>0</v>
      </c>
      <c r="C306" s="45">
        <f t="shared" si="1"/>
        <v>0</v>
      </c>
      <c r="D306" s="45">
        <f t="shared" si="5"/>
        <v>0</v>
      </c>
      <c r="E306" s="46">
        <f t="shared" si="2"/>
        <v>0</v>
      </c>
      <c r="F306" s="47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2.5" customHeight="1">
      <c r="A307" s="44">
        <v>54058.0</v>
      </c>
      <c r="B307" s="45">
        <f t="shared" si="27"/>
        <v>0</v>
      </c>
      <c r="C307" s="45">
        <f t="shared" si="1"/>
        <v>0</v>
      </c>
      <c r="D307" s="45">
        <f t="shared" si="5"/>
        <v>0</v>
      </c>
      <c r="E307" s="46">
        <f t="shared" si="2"/>
        <v>0</v>
      </c>
      <c r="F307" s="47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2.5" customHeight="1">
      <c r="A308" s="44">
        <v>54089.0</v>
      </c>
      <c r="B308" s="45">
        <f t="shared" si="27"/>
        <v>0</v>
      </c>
      <c r="C308" s="45">
        <f t="shared" si="1"/>
        <v>0</v>
      </c>
      <c r="D308" s="45">
        <f t="shared" si="5"/>
        <v>0</v>
      </c>
      <c r="E308" s="46">
        <f t="shared" si="2"/>
        <v>0</v>
      </c>
      <c r="F308" s="47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2.5" customHeight="1">
      <c r="A309" s="44">
        <v>54118.0</v>
      </c>
      <c r="B309" s="45">
        <f>if(E308&lt;=B308,E308, IF(ROUND(E308,1)=0,0,B308)*(1+$B$12))</f>
        <v>0</v>
      </c>
      <c r="C309" s="45">
        <f t="shared" si="1"/>
        <v>0</v>
      </c>
      <c r="D309" s="45">
        <f t="shared" si="5"/>
        <v>0</v>
      </c>
      <c r="E309" s="46">
        <f t="shared" si="2"/>
        <v>0</v>
      </c>
      <c r="F309" s="47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2.5" customHeight="1">
      <c r="A310" s="44">
        <v>54149.0</v>
      </c>
      <c r="B310" s="45">
        <f t="shared" ref="B310:B320" si="28">if(E309&lt;B309,E309,IF(ROUND(E309,1)=0,0,B309))</f>
        <v>0</v>
      </c>
      <c r="C310" s="45">
        <f t="shared" si="1"/>
        <v>0</v>
      </c>
      <c r="D310" s="45">
        <f t="shared" si="5"/>
        <v>0</v>
      </c>
      <c r="E310" s="46">
        <f t="shared" si="2"/>
        <v>0</v>
      </c>
      <c r="F310" s="46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2.5" customHeight="1">
      <c r="A311" s="44">
        <v>54179.0</v>
      </c>
      <c r="B311" s="45">
        <f t="shared" si="28"/>
        <v>0</v>
      </c>
      <c r="C311" s="45">
        <f t="shared" si="1"/>
        <v>0</v>
      </c>
      <c r="D311" s="45">
        <f t="shared" si="5"/>
        <v>0</v>
      </c>
      <c r="E311" s="46">
        <f t="shared" si="2"/>
        <v>0</v>
      </c>
      <c r="F311" s="46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2.5" customHeight="1">
      <c r="A312" s="44">
        <v>54210.0</v>
      </c>
      <c r="B312" s="45">
        <f t="shared" si="28"/>
        <v>0</v>
      </c>
      <c r="C312" s="45">
        <f t="shared" si="1"/>
        <v>0</v>
      </c>
      <c r="D312" s="45">
        <f t="shared" si="5"/>
        <v>0</v>
      </c>
      <c r="E312" s="46">
        <f t="shared" si="2"/>
        <v>0</v>
      </c>
      <c r="F312" s="46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2.5" customHeight="1">
      <c r="A313" s="44">
        <v>54240.0</v>
      </c>
      <c r="B313" s="45">
        <f t="shared" si="28"/>
        <v>0</v>
      </c>
      <c r="C313" s="45">
        <f t="shared" si="1"/>
        <v>0</v>
      </c>
      <c r="D313" s="45">
        <f t="shared" si="5"/>
        <v>0</v>
      </c>
      <c r="E313" s="46">
        <f t="shared" si="2"/>
        <v>0</v>
      </c>
      <c r="F313" s="46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2.5" customHeight="1">
      <c r="A314" s="44">
        <v>54271.0</v>
      </c>
      <c r="B314" s="45">
        <f t="shared" si="28"/>
        <v>0</v>
      </c>
      <c r="C314" s="45">
        <f t="shared" si="1"/>
        <v>0</v>
      </c>
      <c r="D314" s="45">
        <f t="shared" si="5"/>
        <v>0</v>
      </c>
      <c r="E314" s="46">
        <f t="shared" si="2"/>
        <v>0</v>
      </c>
      <c r="F314" s="46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2.5" customHeight="1">
      <c r="A315" s="44">
        <v>54302.0</v>
      </c>
      <c r="B315" s="45">
        <f t="shared" si="28"/>
        <v>0</v>
      </c>
      <c r="C315" s="45">
        <f t="shared" si="1"/>
        <v>0</v>
      </c>
      <c r="D315" s="45">
        <f t="shared" si="5"/>
        <v>0</v>
      </c>
      <c r="E315" s="46">
        <f t="shared" si="2"/>
        <v>0</v>
      </c>
      <c r="F315" s="46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2.5" customHeight="1">
      <c r="A316" s="44">
        <v>54332.0</v>
      </c>
      <c r="B316" s="45">
        <f t="shared" si="28"/>
        <v>0</v>
      </c>
      <c r="C316" s="45">
        <f t="shared" si="1"/>
        <v>0</v>
      </c>
      <c r="D316" s="45">
        <f t="shared" si="5"/>
        <v>0</v>
      </c>
      <c r="E316" s="46">
        <f t="shared" si="2"/>
        <v>0</v>
      </c>
      <c r="F316" s="46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2.5" customHeight="1">
      <c r="A317" s="44">
        <v>54363.0</v>
      </c>
      <c r="B317" s="45">
        <f t="shared" si="28"/>
        <v>0</v>
      </c>
      <c r="C317" s="45">
        <f t="shared" si="1"/>
        <v>0</v>
      </c>
      <c r="D317" s="45">
        <f t="shared" si="5"/>
        <v>0</v>
      </c>
      <c r="E317" s="46">
        <f t="shared" si="2"/>
        <v>0</v>
      </c>
      <c r="F317" s="46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2.5" customHeight="1">
      <c r="A318" s="44">
        <v>54393.0</v>
      </c>
      <c r="B318" s="45">
        <f t="shared" si="28"/>
        <v>0</v>
      </c>
      <c r="C318" s="45">
        <f t="shared" si="1"/>
        <v>0</v>
      </c>
      <c r="D318" s="45">
        <f t="shared" si="5"/>
        <v>0</v>
      </c>
      <c r="E318" s="46">
        <f t="shared" si="2"/>
        <v>0</v>
      </c>
      <c r="F318" s="46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2.5" customHeight="1">
      <c r="A319" s="44">
        <v>54424.0</v>
      </c>
      <c r="B319" s="45">
        <f t="shared" si="28"/>
        <v>0</v>
      </c>
      <c r="C319" s="45">
        <f t="shared" si="1"/>
        <v>0</v>
      </c>
      <c r="D319" s="45">
        <f t="shared" si="5"/>
        <v>0</v>
      </c>
      <c r="E319" s="46">
        <f t="shared" si="2"/>
        <v>0</v>
      </c>
      <c r="F319" s="46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2.5" customHeight="1">
      <c r="A320" s="44">
        <v>54455.0</v>
      </c>
      <c r="B320" s="45">
        <f t="shared" si="28"/>
        <v>0</v>
      </c>
      <c r="C320" s="45">
        <f t="shared" si="1"/>
        <v>0</v>
      </c>
      <c r="D320" s="45">
        <f t="shared" si="5"/>
        <v>0</v>
      </c>
      <c r="E320" s="46">
        <f t="shared" si="2"/>
        <v>0</v>
      </c>
      <c r="F320" s="46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2.5" customHeight="1">
      <c r="A321" s="44">
        <v>54483.0</v>
      </c>
      <c r="B321" s="45">
        <f>if(E320&lt;=B320,E320, IF(ROUND(E320,1)=0,0,B320)*(1+$B$12))</f>
        <v>0</v>
      </c>
      <c r="C321" s="45">
        <f t="shared" si="1"/>
        <v>0</v>
      </c>
      <c r="D321" s="45">
        <f t="shared" si="5"/>
        <v>0</v>
      </c>
      <c r="E321" s="46">
        <f t="shared" si="2"/>
        <v>0</v>
      </c>
      <c r="F321" s="46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2.5" customHeight="1">
      <c r="A322" s="44">
        <v>54514.0</v>
      </c>
      <c r="B322" s="45">
        <f t="shared" ref="B322:B362" si="29">if(E321&lt;B321,E321,IF(ROUND(E321,1)=0,0,B321))</f>
        <v>0</v>
      </c>
      <c r="C322" s="45">
        <f t="shared" si="1"/>
        <v>0</v>
      </c>
      <c r="D322" s="45">
        <f t="shared" si="5"/>
        <v>0</v>
      </c>
      <c r="E322" s="46">
        <f t="shared" si="2"/>
        <v>0</v>
      </c>
      <c r="F322" s="46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2.5" customHeight="1">
      <c r="A323" s="44">
        <v>54544.0</v>
      </c>
      <c r="B323" s="45">
        <f t="shared" si="29"/>
        <v>0</v>
      </c>
      <c r="C323" s="45">
        <f t="shared" si="1"/>
        <v>0</v>
      </c>
      <c r="D323" s="45">
        <f t="shared" si="5"/>
        <v>0</v>
      </c>
      <c r="E323" s="46">
        <f t="shared" si="2"/>
        <v>0</v>
      </c>
      <c r="F323" s="46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2.5" customHeight="1">
      <c r="A324" s="44">
        <v>54575.0</v>
      </c>
      <c r="B324" s="45">
        <f t="shared" si="29"/>
        <v>0</v>
      </c>
      <c r="C324" s="45">
        <f t="shared" si="1"/>
        <v>0</v>
      </c>
      <c r="D324" s="45">
        <f t="shared" si="5"/>
        <v>0</v>
      </c>
      <c r="E324" s="46">
        <f t="shared" si="2"/>
        <v>0</v>
      </c>
      <c r="F324" s="46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2.5" customHeight="1">
      <c r="A325" s="44">
        <v>54605.0</v>
      </c>
      <c r="B325" s="45">
        <f t="shared" si="29"/>
        <v>0</v>
      </c>
      <c r="C325" s="45">
        <f t="shared" si="1"/>
        <v>0</v>
      </c>
      <c r="D325" s="45">
        <f t="shared" si="5"/>
        <v>0</v>
      </c>
      <c r="E325" s="46">
        <f t="shared" si="2"/>
        <v>0</v>
      </c>
      <c r="F325" s="46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2.5" customHeight="1">
      <c r="A326" s="44">
        <v>54636.0</v>
      </c>
      <c r="B326" s="45">
        <f t="shared" si="29"/>
        <v>0</v>
      </c>
      <c r="C326" s="45">
        <f t="shared" si="1"/>
        <v>0</v>
      </c>
      <c r="D326" s="45">
        <f t="shared" si="5"/>
        <v>0</v>
      </c>
      <c r="E326" s="46">
        <f t="shared" si="2"/>
        <v>0</v>
      </c>
      <c r="F326" s="46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2.5" customHeight="1">
      <c r="A327" s="44">
        <v>54667.0</v>
      </c>
      <c r="B327" s="45">
        <f t="shared" si="29"/>
        <v>0</v>
      </c>
      <c r="C327" s="45">
        <f t="shared" si="1"/>
        <v>0</v>
      </c>
      <c r="D327" s="45">
        <f t="shared" si="5"/>
        <v>0</v>
      </c>
      <c r="E327" s="46">
        <f t="shared" si="2"/>
        <v>0</v>
      </c>
      <c r="F327" s="46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2.5" customHeight="1">
      <c r="A328" s="44">
        <v>54697.0</v>
      </c>
      <c r="B328" s="45">
        <f t="shared" si="29"/>
        <v>0</v>
      </c>
      <c r="C328" s="45">
        <f t="shared" si="1"/>
        <v>0</v>
      </c>
      <c r="D328" s="45">
        <f t="shared" si="5"/>
        <v>0</v>
      </c>
      <c r="E328" s="46">
        <f t="shared" si="2"/>
        <v>0</v>
      </c>
      <c r="F328" s="46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2.5" customHeight="1">
      <c r="A329" s="44">
        <v>54728.0</v>
      </c>
      <c r="B329" s="45">
        <f t="shared" si="29"/>
        <v>0</v>
      </c>
      <c r="C329" s="45">
        <f t="shared" si="1"/>
        <v>0</v>
      </c>
      <c r="D329" s="45">
        <f t="shared" si="5"/>
        <v>0</v>
      </c>
      <c r="E329" s="46">
        <f t="shared" si="2"/>
        <v>0</v>
      </c>
      <c r="F329" s="46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2.5" customHeight="1">
      <c r="A330" s="44">
        <v>54758.0</v>
      </c>
      <c r="B330" s="45">
        <f t="shared" si="29"/>
        <v>0</v>
      </c>
      <c r="C330" s="45">
        <f t="shared" si="1"/>
        <v>0</v>
      </c>
      <c r="D330" s="45">
        <f t="shared" si="5"/>
        <v>0</v>
      </c>
      <c r="E330" s="46">
        <f t="shared" si="2"/>
        <v>0</v>
      </c>
      <c r="F330" s="46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2.5" customHeight="1">
      <c r="A331" s="44">
        <v>54789.0</v>
      </c>
      <c r="B331" s="45">
        <f t="shared" si="29"/>
        <v>0</v>
      </c>
      <c r="C331" s="45">
        <f t="shared" si="1"/>
        <v>0</v>
      </c>
      <c r="D331" s="45">
        <f t="shared" si="5"/>
        <v>0</v>
      </c>
      <c r="E331" s="46">
        <f t="shared" si="2"/>
        <v>0</v>
      </c>
      <c r="F331" s="46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2.5" customHeight="1">
      <c r="A332" s="44">
        <v>54820.0</v>
      </c>
      <c r="B332" s="45">
        <f t="shared" si="29"/>
        <v>0</v>
      </c>
      <c r="C332" s="45">
        <f t="shared" si="1"/>
        <v>0</v>
      </c>
      <c r="D332" s="45">
        <f t="shared" si="5"/>
        <v>0</v>
      </c>
      <c r="E332" s="46">
        <f t="shared" si="2"/>
        <v>0</v>
      </c>
      <c r="F332" s="46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2.5" customHeight="1">
      <c r="A333" s="44">
        <v>54848.0</v>
      </c>
      <c r="B333" s="45">
        <f t="shared" si="29"/>
        <v>0</v>
      </c>
      <c r="C333" s="45">
        <f t="shared" si="1"/>
        <v>0</v>
      </c>
      <c r="D333" s="45">
        <f t="shared" si="5"/>
        <v>0</v>
      </c>
      <c r="E333" s="46">
        <f t="shared" si="2"/>
        <v>0</v>
      </c>
      <c r="F333" s="46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2.5" customHeight="1">
      <c r="A334" s="44">
        <v>54879.0</v>
      </c>
      <c r="B334" s="45">
        <f t="shared" si="29"/>
        <v>0</v>
      </c>
      <c r="C334" s="45">
        <f t="shared" si="1"/>
        <v>0</v>
      </c>
      <c r="D334" s="45">
        <f t="shared" si="5"/>
        <v>0</v>
      </c>
      <c r="E334" s="46">
        <f t="shared" si="2"/>
        <v>0</v>
      </c>
      <c r="F334" s="46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2.5" customHeight="1">
      <c r="A335" s="44">
        <v>54909.0</v>
      </c>
      <c r="B335" s="45">
        <f t="shared" si="29"/>
        <v>0</v>
      </c>
      <c r="C335" s="45">
        <f t="shared" si="1"/>
        <v>0</v>
      </c>
      <c r="D335" s="45">
        <f t="shared" si="5"/>
        <v>0</v>
      </c>
      <c r="E335" s="46">
        <f t="shared" si="2"/>
        <v>0</v>
      </c>
      <c r="F335" s="46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2.5" customHeight="1">
      <c r="A336" s="44">
        <v>54940.0</v>
      </c>
      <c r="B336" s="45">
        <f t="shared" si="29"/>
        <v>0</v>
      </c>
      <c r="C336" s="45">
        <f t="shared" si="1"/>
        <v>0</v>
      </c>
      <c r="D336" s="45">
        <f t="shared" si="5"/>
        <v>0</v>
      </c>
      <c r="E336" s="46">
        <f t="shared" si="2"/>
        <v>0</v>
      </c>
      <c r="F336" s="46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2.5" customHeight="1">
      <c r="A337" s="44">
        <v>54970.0</v>
      </c>
      <c r="B337" s="45">
        <f t="shared" si="29"/>
        <v>0</v>
      </c>
      <c r="C337" s="45">
        <f t="shared" si="1"/>
        <v>0</v>
      </c>
      <c r="D337" s="45">
        <f t="shared" si="5"/>
        <v>0</v>
      </c>
      <c r="E337" s="46">
        <f t="shared" si="2"/>
        <v>0</v>
      </c>
      <c r="F337" s="46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2.5" customHeight="1">
      <c r="A338" s="44">
        <v>55001.0</v>
      </c>
      <c r="B338" s="45">
        <f t="shared" si="29"/>
        <v>0</v>
      </c>
      <c r="C338" s="45">
        <f t="shared" si="1"/>
        <v>0</v>
      </c>
      <c r="D338" s="45">
        <f t="shared" si="5"/>
        <v>0</v>
      </c>
      <c r="E338" s="46">
        <f t="shared" si="2"/>
        <v>0</v>
      </c>
      <c r="F338" s="46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2.5" customHeight="1">
      <c r="A339" s="44">
        <v>55032.0</v>
      </c>
      <c r="B339" s="45">
        <f t="shared" si="29"/>
        <v>0</v>
      </c>
      <c r="C339" s="45">
        <f t="shared" si="1"/>
        <v>0</v>
      </c>
      <c r="D339" s="45">
        <f t="shared" si="5"/>
        <v>0</v>
      </c>
      <c r="E339" s="46">
        <f t="shared" si="2"/>
        <v>0</v>
      </c>
      <c r="F339" s="46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2.5" customHeight="1">
      <c r="A340" s="44">
        <v>55062.0</v>
      </c>
      <c r="B340" s="45">
        <f t="shared" si="29"/>
        <v>0</v>
      </c>
      <c r="C340" s="45">
        <f t="shared" si="1"/>
        <v>0</v>
      </c>
      <c r="D340" s="45">
        <f t="shared" si="5"/>
        <v>0</v>
      </c>
      <c r="E340" s="46">
        <f t="shared" si="2"/>
        <v>0</v>
      </c>
      <c r="F340" s="46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2.5" customHeight="1">
      <c r="A341" s="44">
        <v>55093.0</v>
      </c>
      <c r="B341" s="45">
        <f t="shared" si="29"/>
        <v>0</v>
      </c>
      <c r="C341" s="45">
        <f t="shared" si="1"/>
        <v>0</v>
      </c>
      <c r="D341" s="45">
        <f t="shared" si="5"/>
        <v>0</v>
      </c>
      <c r="E341" s="46">
        <f t="shared" si="2"/>
        <v>0</v>
      </c>
      <c r="F341" s="46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2.5" customHeight="1">
      <c r="A342" s="44">
        <v>55123.0</v>
      </c>
      <c r="B342" s="45">
        <f t="shared" si="29"/>
        <v>0</v>
      </c>
      <c r="C342" s="45">
        <f t="shared" si="1"/>
        <v>0</v>
      </c>
      <c r="D342" s="45">
        <f t="shared" si="5"/>
        <v>0</v>
      </c>
      <c r="E342" s="46">
        <f t="shared" si="2"/>
        <v>0</v>
      </c>
      <c r="F342" s="46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2.5" customHeight="1">
      <c r="A343" s="44">
        <v>55154.0</v>
      </c>
      <c r="B343" s="45">
        <f t="shared" si="29"/>
        <v>0</v>
      </c>
      <c r="C343" s="45">
        <f t="shared" si="1"/>
        <v>0</v>
      </c>
      <c r="D343" s="45">
        <f t="shared" si="5"/>
        <v>0</v>
      </c>
      <c r="E343" s="46">
        <f t="shared" si="2"/>
        <v>0</v>
      </c>
      <c r="F343" s="46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2.5" customHeight="1">
      <c r="A344" s="44">
        <v>55185.0</v>
      </c>
      <c r="B344" s="45">
        <f t="shared" si="29"/>
        <v>0</v>
      </c>
      <c r="C344" s="45">
        <f t="shared" si="1"/>
        <v>0</v>
      </c>
      <c r="D344" s="45">
        <f t="shared" si="5"/>
        <v>0</v>
      </c>
      <c r="E344" s="46">
        <f t="shared" si="2"/>
        <v>0</v>
      </c>
      <c r="F344" s="46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2.5" customHeight="1">
      <c r="A345" s="44">
        <v>55213.0</v>
      </c>
      <c r="B345" s="45">
        <f t="shared" si="29"/>
        <v>0</v>
      </c>
      <c r="C345" s="45">
        <f t="shared" si="1"/>
        <v>0</v>
      </c>
      <c r="D345" s="45">
        <f t="shared" si="5"/>
        <v>0</v>
      </c>
      <c r="E345" s="46">
        <f t="shared" si="2"/>
        <v>0</v>
      </c>
      <c r="F345" s="46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2.5" customHeight="1">
      <c r="A346" s="44">
        <v>55244.0</v>
      </c>
      <c r="B346" s="45">
        <f t="shared" si="29"/>
        <v>0</v>
      </c>
      <c r="C346" s="45">
        <f t="shared" si="1"/>
        <v>0</v>
      </c>
      <c r="D346" s="45">
        <f t="shared" si="5"/>
        <v>0</v>
      </c>
      <c r="E346" s="46">
        <f t="shared" si="2"/>
        <v>0</v>
      </c>
      <c r="F346" s="46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2.5" customHeight="1">
      <c r="A347" s="44">
        <v>55274.0</v>
      </c>
      <c r="B347" s="45">
        <f t="shared" si="29"/>
        <v>0</v>
      </c>
      <c r="C347" s="45">
        <f t="shared" si="1"/>
        <v>0</v>
      </c>
      <c r="D347" s="45">
        <f t="shared" si="5"/>
        <v>0</v>
      </c>
      <c r="E347" s="46">
        <f t="shared" si="2"/>
        <v>0</v>
      </c>
      <c r="F347" s="46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2.5" customHeight="1">
      <c r="A348" s="44">
        <v>55305.0</v>
      </c>
      <c r="B348" s="45">
        <f t="shared" si="29"/>
        <v>0</v>
      </c>
      <c r="C348" s="45">
        <f t="shared" si="1"/>
        <v>0</v>
      </c>
      <c r="D348" s="45">
        <f t="shared" si="5"/>
        <v>0</v>
      </c>
      <c r="E348" s="46">
        <f t="shared" si="2"/>
        <v>0</v>
      </c>
      <c r="F348" s="46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2.5" customHeight="1">
      <c r="A349" s="44">
        <v>55335.0</v>
      </c>
      <c r="B349" s="45">
        <f t="shared" si="29"/>
        <v>0</v>
      </c>
      <c r="C349" s="45">
        <f t="shared" si="1"/>
        <v>0</v>
      </c>
      <c r="D349" s="45">
        <f t="shared" si="5"/>
        <v>0</v>
      </c>
      <c r="E349" s="46">
        <f t="shared" si="2"/>
        <v>0</v>
      </c>
      <c r="F349" s="46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2.5" customHeight="1">
      <c r="A350" s="44">
        <v>55366.0</v>
      </c>
      <c r="B350" s="45">
        <f t="shared" si="29"/>
        <v>0</v>
      </c>
      <c r="C350" s="45">
        <f t="shared" si="1"/>
        <v>0</v>
      </c>
      <c r="D350" s="45">
        <f t="shared" si="5"/>
        <v>0</v>
      </c>
      <c r="E350" s="46">
        <f t="shared" si="2"/>
        <v>0</v>
      </c>
      <c r="F350" s="46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2.5" customHeight="1">
      <c r="A351" s="44">
        <v>55397.0</v>
      </c>
      <c r="B351" s="45">
        <f t="shared" si="29"/>
        <v>0</v>
      </c>
      <c r="C351" s="45">
        <f t="shared" si="1"/>
        <v>0</v>
      </c>
      <c r="D351" s="45">
        <f t="shared" si="5"/>
        <v>0</v>
      </c>
      <c r="E351" s="46">
        <f t="shared" si="2"/>
        <v>0</v>
      </c>
      <c r="F351" s="46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2.5" customHeight="1">
      <c r="A352" s="44">
        <v>55427.0</v>
      </c>
      <c r="B352" s="45">
        <f t="shared" si="29"/>
        <v>0</v>
      </c>
      <c r="C352" s="45">
        <f t="shared" si="1"/>
        <v>0</v>
      </c>
      <c r="D352" s="45">
        <f t="shared" si="5"/>
        <v>0</v>
      </c>
      <c r="E352" s="46">
        <f t="shared" si="2"/>
        <v>0</v>
      </c>
      <c r="F352" s="46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2.5" customHeight="1">
      <c r="A353" s="44">
        <v>55458.0</v>
      </c>
      <c r="B353" s="45">
        <f t="shared" si="29"/>
        <v>0</v>
      </c>
      <c r="C353" s="45">
        <f t="shared" si="1"/>
        <v>0</v>
      </c>
      <c r="D353" s="45">
        <f t="shared" si="5"/>
        <v>0</v>
      </c>
      <c r="E353" s="46">
        <f t="shared" si="2"/>
        <v>0</v>
      </c>
      <c r="F353" s="46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2.5" customHeight="1">
      <c r="A354" s="44">
        <v>55488.0</v>
      </c>
      <c r="B354" s="45">
        <f t="shared" si="29"/>
        <v>0</v>
      </c>
      <c r="C354" s="45">
        <f t="shared" si="1"/>
        <v>0</v>
      </c>
      <c r="D354" s="45">
        <f t="shared" si="5"/>
        <v>0</v>
      </c>
      <c r="E354" s="46">
        <f t="shared" si="2"/>
        <v>0</v>
      </c>
      <c r="F354" s="46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2.5" customHeight="1">
      <c r="A355" s="44">
        <v>55519.0</v>
      </c>
      <c r="B355" s="45">
        <f t="shared" si="29"/>
        <v>0</v>
      </c>
      <c r="C355" s="45">
        <f t="shared" si="1"/>
        <v>0</v>
      </c>
      <c r="D355" s="45">
        <f t="shared" si="5"/>
        <v>0</v>
      </c>
      <c r="E355" s="46">
        <f t="shared" si="2"/>
        <v>0</v>
      </c>
      <c r="F355" s="46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2.5" customHeight="1">
      <c r="A356" s="44">
        <v>55550.0</v>
      </c>
      <c r="B356" s="45">
        <f t="shared" si="29"/>
        <v>0</v>
      </c>
      <c r="C356" s="45">
        <f t="shared" si="1"/>
        <v>0</v>
      </c>
      <c r="D356" s="45">
        <f t="shared" si="5"/>
        <v>0</v>
      </c>
      <c r="E356" s="46">
        <f t="shared" si="2"/>
        <v>0</v>
      </c>
      <c r="F356" s="46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2.5" customHeight="1">
      <c r="A357" s="44">
        <v>55579.0</v>
      </c>
      <c r="B357" s="45">
        <f t="shared" si="29"/>
        <v>0</v>
      </c>
      <c r="C357" s="45">
        <f t="shared" si="1"/>
        <v>0</v>
      </c>
      <c r="D357" s="45">
        <f t="shared" si="5"/>
        <v>0</v>
      </c>
      <c r="E357" s="46">
        <f t="shared" si="2"/>
        <v>0</v>
      </c>
      <c r="F357" s="46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2.5" customHeight="1">
      <c r="A358" s="44">
        <v>55610.0</v>
      </c>
      <c r="B358" s="45">
        <f t="shared" si="29"/>
        <v>0</v>
      </c>
      <c r="C358" s="45">
        <f t="shared" si="1"/>
        <v>0</v>
      </c>
      <c r="D358" s="45">
        <f t="shared" si="5"/>
        <v>0</v>
      </c>
      <c r="E358" s="46">
        <f t="shared" si="2"/>
        <v>0</v>
      </c>
      <c r="F358" s="46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2.5" customHeight="1">
      <c r="A359" s="44">
        <v>55640.0</v>
      </c>
      <c r="B359" s="45">
        <f t="shared" si="29"/>
        <v>0</v>
      </c>
      <c r="C359" s="45">
        <f t="shared" si="1"/>
        <v>0</v>
      </c>
      <c r="D359" s="45">
        <f t="shared" si="5"/>
        <v>0</v>
      </c>
      <c r="E359" s="46">
        <f t="shared" si="2"/>
        <v>0</v>
      </c>
      <c r="F359" s="46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2.5" customHeight="1">
      <c r="A360" s="44">
        <v>55671.0</v>
      </c>
      <c r="B360" s="45">
        <f t="shared" si="29"/>
        <v>0</v>
      </c>
      <c r="C360" s="45">
        <f t="shared" si="1"/>
        <v>0</v>
      </c>
      <c r="D360" s="45">
        <f t="shared" si="5"/>
        <v>0</v>
      </c>
      <c r="E360" s="46">
        <f t="shared" si="2"/>
        <v>0</v>
      </c>
      <c r="F360" s="46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2.5" customHeight="1">
      <c r="A361" s="44">
        <v>55701.0</v>
      </c>
      <c r="B361" s="45">
        <f t="shared" si="29"/>
        <v>0</v>
      </c>
      <c r="C361" s="45">
        <f t="shared" si="1"/>
        <v>0</v>
      </c>
      <c r="D361" s="45">
        <f t="shared" si="5"/>
        <v>0</v>
      </c>
      <c r="E361" s="46">
        <f t="shared" si="2"/>
        <v>0</v>
      </c>
      <c r="F361" s="46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2.5" customHeight="1">
      <c r="A362" s="44">
        <v>55732.0</v>
      </c>
      <c r="B362" s="45">
        <f t="shared" si="29"/>
        <v>0</v>
      </c>
      <c r="C362" s="45">
        <f t="shared" si="1"/>
        <v>0</v>
      </c>
      <c r="D362" s="45">
        <f t="shared" si="5"/>
        <v>0</v>
      </c>
      <c r="E362" s="46">
        <f t="shared" si="2"/>
        <v>0</v>
      </c>
      <c r="F362" s="46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33"/>
      <c r="C363" s="33"/>
      <c r="D363" s="33"/>
      <c r="E363" s="22"/>
      <c r="F363" s="22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33"/>
      <c r="C364" s="33"/>
      <c r="D364" s="33"/>
      <c r="E364" s="22"/>
      <c r="F364" s="22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33"/>
      <c r="C365" s="33"/>
      <c r="D365" s="33"/>
      <c r="E365" s="22"/>
      <c r="F365" s="22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33"/>
      <c r="C366" s="33"/>
      <c r="D366" s="33"/>
      <c r="E366" s="22"/>
      <c r="F366" s="22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33"/>
      <c r="C367" s="33"/>
      <c r="D367" s="33"/>
      <c r="E367" s="22"/>
      <c r="F367" s="22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33"/>
      <c r="C368" s="33"/>
      <c r="D368" s="33"/>
      <c r="E368" s="22"/>
      <c r="F368" s="22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33"/>
      <c r="C369" s="33"/>
      <c r="D369" s="33"/>
      <c r="E369" s="22"/>
      <c r="F369" s="22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33"/>
      <c r="C370" s="33"/>
      <c r="D370" s="33"/>
      <c r="E370" s="22"/>
      <c r="F370" s="22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33"/>
      <c r="C371" s="33"/>
      <c r="D371" s="33"/>
      <c r="E371" s="22"/>
      <c r="F371" s="22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33"/>
      <c r="C372" s="33"/>
      <c r="D372" s="33"/>
      <c r="E372" s="22"/>
      <c r="F372" s="22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33"/>
      <c r="C373" s="33"/>
      <c r="D373" s="33"/>
      <c r="E373" s="22"/>
      <c r="F373" s="22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33"/>
      <c r="C374" s="33"/>
      <c r="D374" s="33"/>
      <c r="E374" s="22"/>
      <c r="F374" s="22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33"/>
      <c r="C375" s="33"/>
      <c r="D375" s="33"/>
      <c r="E375" s="22"/>
      <c r="F375" s="22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33"/>
      <c r="C376" s="33"/>
      <c r="D376" s="33"/>
      <c r="E376" s="22"/>
      <c r="F376" s="22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33"/>
      <c r="C377" s="33"/>
      <c r="D377" s="33"/>
      <c r="E377" s="22"/>
      <c r="F377" s="22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33"/>
      <c r="C378" s="33"/>
      <c r="D378" s="33"/>
      <c r="E378" s="22"/>
      <c r="F378" s="22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33"/>
      <c r="C379" s="33"/>
      <c r="D379" s="33"/>
      <c r="E379" s="22"/>
      <c r="F379" s="22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33"/>
      <c r="C380" s="33"/>
      <c r="D380" s="33"/>
      <c r="E380" s="22"/>
      <c r="F380" s="22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2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2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2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2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2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2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2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2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2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2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2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2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2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2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2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2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2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2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2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2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2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2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2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2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2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2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2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2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2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2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2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2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2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2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2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2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2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2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2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2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2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2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2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2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2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2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2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2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2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2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2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2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2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2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2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2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2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2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2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2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2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2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2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2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2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2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2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2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2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2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2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2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2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2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2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2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2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2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2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2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2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2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2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2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2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2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2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2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2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2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2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2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2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2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2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2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2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2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2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2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2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2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2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2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2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2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2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2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2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2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2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2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2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2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2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2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2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2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2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2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2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2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2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2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2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2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2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2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2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2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2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2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2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2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2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2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2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2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2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2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2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2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2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2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2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2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2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2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2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2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2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2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2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2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2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2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2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2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2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2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2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2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2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2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2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2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2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2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2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2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2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2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2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2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2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2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2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2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2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2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2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2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2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2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2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2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2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2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2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2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2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2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2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2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2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2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2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2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2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2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2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2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2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2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2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2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2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2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2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2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2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2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2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2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2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2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2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2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2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2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2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2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2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2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2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2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2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2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2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2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2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2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2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2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2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2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2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2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2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2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2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2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2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2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2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2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2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2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2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2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2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2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2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2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2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2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2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2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2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2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2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2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2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2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2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2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2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2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2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2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2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2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2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2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2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2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2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2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2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2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2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2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2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2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2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2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2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2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2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2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2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2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2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2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2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2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2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2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2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2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2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2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2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2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2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2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2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2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2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2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2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2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2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2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2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2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2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2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2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2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2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2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2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2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2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2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2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2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2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2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2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2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2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2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2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2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2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2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2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2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2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2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2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2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2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2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2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2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2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2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2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2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2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2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2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2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2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2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2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2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2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2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2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2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2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2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2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2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2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2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2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2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2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2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2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2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2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2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2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2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2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2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2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2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2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2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2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2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2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2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2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2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2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2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2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2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2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2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2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2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2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2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2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2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2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2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2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2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2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2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2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2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2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2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2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2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2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2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2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2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2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2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2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2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2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2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2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2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2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2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2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2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2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2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2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2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2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2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2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2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2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2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2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2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2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2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2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2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2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2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2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2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2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2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2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2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2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2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2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2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2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2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2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2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2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2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2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2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2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2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2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2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2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2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2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2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2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2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2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2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2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2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2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2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2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2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2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2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2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2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2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2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2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2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2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2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2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2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2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2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2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2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2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2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2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2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2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2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2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2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2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2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2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2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2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2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2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2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2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2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2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2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2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2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2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2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2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2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2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2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2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2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2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2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2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2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2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2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2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2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2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2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2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2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2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2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2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2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2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2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2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2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2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2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2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2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2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2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2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2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2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2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2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2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2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2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2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2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2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2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2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2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2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2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2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2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2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2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2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2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2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2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2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2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2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2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2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2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2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2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2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2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2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2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2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2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2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2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2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2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2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2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2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2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2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2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2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2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2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2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2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2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2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2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2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2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2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2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2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2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2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2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2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2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2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>
      <c r="A1006" s="20"/>
      <c r="B1006" s="20"/>
      <c r="C1006" s="20"/>
      <c r="D1006" s="20"/>
      <c r="E1006" s="20"/>
      <c r="F1006" s="22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>
      <c r="A1007" s="20"/>
      <c r="B1007" s="20"/>
      <c r="C1007" s="20"/>
      <c r="D1007" s="20"/>
      <c r="E1007" s="20"/>
      <c r="F1007" s="22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>
      <c r="A1008" s="20"/>
      <c r="B1008" s="20"/>
      <c r="C1008" s="20"/>
      <c r="D1008" s="20"/>
      <c r="E1008" s="20"/>
      <c r="F1008" s="22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</sheetData>
  <dataValidations>
    <dataValidation type="custom" allowBlank="1" showDropDown="1" sqref="A21:A362">
      <formula1>OR(NOT(ISERROR(DATEVALUE(A21))), AND(ISNUMBER(A21), LEFT(CELL("format", A21))="D"))</formula1>
    </dataValidation>
    <dataValidation type="custom" allowBlank="1" showDropDown="1" sqref="B21:F362">
      <formula1>AND(ISNUMBER(B21),(NOT(OR(NOT(ISERROR(DATEVALUE(B21))), AND(ISNUMBER(B21), LEFT(CELL("format", B21))="D")))))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48" t="s">
        <v>2</v>
      </c>
    </row>
    <row r="2" ht="22.5" customHeight="1">
      <c r="A2" s="2" t="s">
        <v>3</v>
      </c>
      <c r="B2" s="3">
        <f>SUM(B3:B1000)</f>
        <v>2382500</v>
      </c>
    </row>
    <row r="3" ht="22.5" customHeight="1">
      <c r="A3" s="49">
        <v>45201.0</v>
      </c>
      <c r="B3" s="48">
        <v>75000.0</v>
      </c>
    </row>
    <row r="4" ht="22.5" customHeight="1">
      <c r="A4" s="49">
        <v>45202.0</v>
      </c>
      <c r="B4" s="48">
        <v>137500.0</v>
      </c>
    </row>
    <row r="5" ht="22.5" customHeight="1">
      <c r="A5" s="49">
        <v>45239.0</v>
      </c>
      <c r="B5" s="48">
        <v>200000.0</v>
      </c>
    </row>
    <row r="6" ht="22.5" customHeight="1">
      <c r="A6" s="49">
        <v>45241.0</v>
      </c>
      <c r="B6" s="48">
        <v>200000.0</v>
      </c>
    </row>
    <row r="7" ht="22.5" customHeight="1">
      <c r="A7" s="49">
        <v>45326.0</v>
      </c>
      <c r="B7" s="48">
        <v>200000.0</v>
      </c>
    </row>
    <row r="8" ht="22.5" customHeight="1">
      <c r="A8" s="49">
        <v>45328.0</v>
      </c>
      <c r="B8" s="48">
        <v>50000.0</v>
      </c>
    </row>
    <row r="9" ht="22.5" customHeight="1">
      <c r="A9" s="49">
        <v>45353.0</v>
      </c>
      <c r="B9" s="48">
        <v>50000.0</v>
      </c>
    </row>
    <row r="10" ht="22.5" customHeight="1">
      <c r="A10" s="49">
        <v>45383.0</v>
      </c>
      <c r="B10" s="48">
        <v>50000.0</v>
      </c>
    </row>
    <row r="11" ht="22.5" customHeight="1">
      <c r="A11" s="49">
        <v>45417.0</v>
      </c>
      <c r="B11" s="48">
        <v>50000.0</v>
      </c>
    </row>
    <row r="12" ht="22.5" customHeight="1">
      <c r="A12" s="49">
        <v>45444.0</v>
      </c>
      <c r="B12" s="48">
        <v>50000.0</v>
      </c>
    </row>
    <row r="13" ht="22.5" customHeight="1">
      <c r="A13" s="49">
        <v>45455.0</v>
      </c>
      <c r="B13" s="48">
        <v>50000.0</v>
      </c>
    </row>
    <row r="14" ht="22.5" customHeight="1">
      <c r="A14" s="49">
        <v>45473.0</v>
      </c>
      <c r="B14" s="48">
        <v>50000.0</v>
      </c>
    </row>
    <row r="15" ht="22.5" customHeight="1">
      <c r="A15" s="49">
        <v>45505.0</v>
      </c>
      <c r="B15" s="48">
        <v>50000.0</v>
      </c>
    </row>
    <row r="16" ht="22.5" customHeight="1">
      <c r="A16" s="49">
        <v>45530.0</v>
      </c>
      <c r="B16" s="48">
        <v>120000.0</v>
      </c>
    </row>
    <row r="17" ht="22.5" customHeight="1">
      <c r="A17" s="49">
        <v>45536.0</v>
      </c>
      <c r="B17" s="48">
        <v>50000.0</v>
      </c>
    </row>
    <row r="18" ht="22.5" customHeight="1">
      <c r="A18" s="49">
        <v>45565.0</v>
      </c>
      <c r="B18" s="48">
        <v>50000.0</v>
      </c>
    </row>
    <row r="19" ht="22.5" customHeight="1">
      <c r="A19" s="49">
        <v>45596.0</v>
      </c>
      <c r="B19" s="48">
        <v>50000.0</v>
      </c>
    </row>
    <row r="20" ht="22.5" customHeight="1">
      <c r="A20" s="49">
        <v>45626.0</v>
      </c>
      <c r="B20" s="48">
        <v>50000.0</v>
      </c>
    </row>
    <row r="21" ht="22.5" customHeight="1">
      <c r="A21" s="49">
        <v>45657.0</v>
      </c>
      <c r="B21" s="48">
        <v>50000.0</v>
      </c>
    </row>
    <row r="22" ht="22.5" customHeight="1">
      <c r="A22" s="49">
        <v>45665.0</v>
      </c>
      <c r="B22" s="48">
        <v>100000.0</v>
      </c>
    </row>
    <row r="23" ht="22.5" customHeight="1">
      <c r="A23" s="49">
        <v>45688.0</v>
      </c>
      <c r="B23" s="48">
        <v>50000.0</v>
      </c>
    </row>
    <row r="24" ht="22.5" customHeight="1">
      <c r="A24" s="49">
        <v>45716.0</v>
      </c>
      <c r="B24" s="48">
        <v>50000.0</v>
      </c>
    </row>
    <row r="25" ht="22.5" customHeight="1">
      <c r="A25" s="49">
        <v>45749.0</v>
      </c>
      <c r="B25" s="48">
        <v>50000.0</v>
      </c>
    </row>
    <row r="26" ht="22.5" customHeight="1">
      <c r="A26" s="49">
        <v>45778.0</v>
      </c>
      <c r="B26" s="48">
        <v>50000.0</v>
      </c>
    </row>
    <row r="27" ht="22.5" customHeight="1">
      <c r="A27" s="49">
        <v>45809.0</v>
      </c>
      <c r="B27" s="48">
        <v>50000.0</v>
      </c>
    </row>
    <row r="28" ht="22.5" customHeight="1">
      <c r="A28" s="49">
        <v>45839.0</v>
      </c>
      <c r="B28" s="48">
        <v>50000.0</v>
      </c>
    </row>
    <row r="29" ht="22.5" customHeight="1">
      <c r="A29" s="49">
        <v>45870.0</v>
      </c>
      <c r="B29" s="48">
        <v>50000.0</v>
      </c>
    </row>
    <row r="30" ht="22.5" customHeight="1">
      <c r="A30" s="49">
        <v>45901.0</v>
      </c>
      <c r="B30" s="48">
        <v>50000.0</v>
      </c>
    </row>
    <row r="31" ht="22.5" customHeight="1">
      <c r="A31" s="49">
        <v>45931.0</v>
      </c>
      <c r="B31" s="48">
        <v>50000.0</v>
      </c>
    </row>
    <row r="32" ht="22.5" customHeight="1">
      <c r="A32" s="49">
        <v>45962.0</v>
      </c>
      <c r="B32" s="48">
        <v>50000.0</v>
      </c>
    </row>
    <row r="33" ht="22.5" customHeight="1">
      <c r="A33" s="49">
        <v>45992.0</v>
      </c>
      <c r="B33" s="48">
        <v>50000.0</v>
      </c>
    </row>
    <row r="34" ht="22.5" customHeight="1">
      <c r="A34" s="49">
        <v>46023.0</v>
      </c>
      <c r="B34" s="48">
        <v>50000.0</v>
      </c>
    </row>
    <row r="35" ht="22.5" customHeight="1">
      <c r="A35" s="49">
        <v>46054.0</v>
      </c>
      <c r="B35" s="48">
        <v>50000.0</v>
      </c>
    </row>
    <row r="36" ht="22.5" customHeight="1">
      <c r="A36" s="49">
        <v>46082.0</v>
      </c>
      <c r="B36" s="48">
        <v>50000.0</v>
      </c>
    </row>
    <row r="37" ht="22.5" customHeight="1">
      <c r="A37" s="49"/>
      <c r="B37" s="48"/>
    </row>
    <row r="38" ht="22.5" customHeight="1">
      <c r="A38" s="49"/>
      <c r="B38" s="48"/>
    </row>
    <row r="39" ht="22.5" customHeight="1">
      <c r="A39" s="49"/>
      <c r="B39" s="48"/>
    </row>
  </sheetData>
  <drawing r:id="rId1"/>
  <tableParts count="1">
    <tablePart r:id="rId3"/>
  </tableParts>
</worksheet>
</file>